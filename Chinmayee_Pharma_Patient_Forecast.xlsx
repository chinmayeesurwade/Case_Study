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16\Downloads\"/>
    </mc:Choice>
  </mc:AlternateContent>
  <xr:revisionPtr revIDLastSave="0" documentId="13_ncr:1_{3540687C-AE74-4010-9850-986794929692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Summary" sheetId="1" r:id="rId1"/>
    <sheet name="Assumptions" sheetId="2" r:id="rId2"/>
    <sheet name="Patient forecast" sheetId="3" r:id="rId3"/>
    <sheet name="Source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D16" i="4"/>
  <c r="C8" i="3" s="1"/>
  <c r="D15" i="4"/>
  <c r="N37" i="3"/>
  <c r="M37" i="3"/>
  <c r="L37" i="3"/>
  <c r="K37" i="3"/>
  <c r="J37" i="3"/>
  <c r="I37" i="3"/>
  <c r="H37" i="3"/>
  <c r="G37" i="3"/>
  <c r="F37" i="3"/>
  <c r="E37" i="3"/>
  <c r="D37" i="3"/>
  <c r="C37" i="3"/>
  <c r="N28" i="3"/>
  <c r="M28" i="3"/>
  <c r="L28" i="3"/>
  <c r="K28" i="3"/>
  <c r="J28" i="3"/>
  <c r="I28" i="3"/>
  <c r="H28" i="3"/>
  <c r="G28" i="3"/>
  <c r="F28" i="3"/>
  <c r="E28" i="3"/>
  <c r="D28" i="3"/>
  <c r="C28" i="3"/>
  <c r="C21" i="3"/>
  <c r="C14" i="3"/>
  <c r="N8" i="3"/>
  <c r="M8" i="3"/>
  <c r="L8" i="3"/>
  <c r="K8" i="3"/>
  <c r="J8" i="3"/>
  <c r="I8" i="3"/>
  <c r="H8" i="3"/>
  <c r="G8" i="3"/>
  <c r="F8" i="3"/>
  <c r="E8" i="3"/>
  <c r="D8" i="3"/>
  <c r="C3" i="3"/>
  <c r="N42" i="2"/>
  <c r="M42" i="2"/>
  <c r="L42" i="2"/>
  <c r="K42" i="2"/>
  <c r="J42" i="2"/>
  <c r="I42" i="2"/>
  <c r="H42" i="2"/>
  <c r="G42" i="2"/>
  <c r="F42" i="2"/>
  <c r="E42" i="2"/>
  <c r="D42" i="2"/>
  <c r="C42" i="2"/>
  <c r="N37" i="2"/>
  <c r="M37" i="2"/>
  <c r="L37" i="2"/>
  <c r="K37" i="2"/>
  <c r="J37" i="2"/>
  <c r="I37" i="2"/>
  <c r="H37" i="2"/>
  <c r="G37" i="2"/>
  <c r="F37" i="2"/>
  <c r="E37" i="2"/>
  <c r="D37" i="2"/>
  <c r="C37" i="2"/>
  <c r="N32" i="2"/>
  <c r="M32" i="2"/>
  <c r="L32" i="2"/>
  <c r="K32" i="2"/>
  <c r="J32" i="2"/>
  <c r="I32" i="2"/>
  <c r="H32" i="2"/>
  <c r="G32" i="2"/>
  <c r="F32" i="2"/>
  <c r="E32" i="2"/>
  <c r="D32" i="2"/>
  <c r="C32" i="2"/>
  <c r="N27" i="2"/>
  <c r="M27" i="2"/>
  <c r="L27" i="2"/>
  <c r="K27" i="2"/>
  <c r="J27" i="2"/>
  <c r="I27" i="2"/>
  <c r="H27" i="2"/>
  <c r="G27" i="2"/>
  <c r="F27" i="2"/>
  <c r="E27" i="2"/>
  <c r="D27" i="2"/>
  <c r="C27" i="2"/>
  <c r="N22" i="2"/>
  <c r="M22" i="2"/>
  <c r="L22" i="2"/>
  <c r="K22" i="2"/>
  <c r="J22" i="2"/>
  <c r="I22" i="2"/>
  <c r="H22" i="2"/>
  <c r="G22" i="2"/>
  <c r="F22" i="2"/>
  <c r="E22" i="2"/>
  <c r="D22" i="2"/>
  <c r="C22" i="2"/>
  <c r="N17" i="2"/>
  <c r="M17" i="2"/>
  <c r="L17" i="2"/>
  <c r="K17" i="2"/>
  <c r="J17" i="2"/>
  <c r="I17" i="2"/>
  <c r="H17" i="2"/>
  <c r="G17" i="2"/>
  <c r="F17" i="2"/>
  <c r="E17" i="2"/>
  <c r="D17" i="2"/>
  <c r="C17" i="2"/>
  <c r="N12" i="2"/>
  <c r="M12" i="2"/>
  <c r="L12" i="2"/>
  <c r="K12" i="2"/>
  <c r="J12" i="2"/>
  <c r="I12" i="2"/>
  <c r="H12" i="2"/>
  <c r="G12" i="2"/>
  <c r="F12" i="2"/>
  <c r="E12" i="2"/>
  <c r="D12" i="2"/>
  <c r="C12" i="2"/>
  <c r="N7" i="2"/>
  <c r="M7" i="2"/>
  <c r="L7" i="2"/>
  <c r="K7" i="2"/>
  <c r="J7" i="2"/>
  <c r="I7" i="2"/>
  <c r="H7" i="2"/>
  <c r="G7" i="2"/>
  <c r="F7" i="2"/>
  <c r="E7" i="2"/>
  <c r="D7" i="2"/>
  <c r="C7" i="2"/>
  <c r="C5" i="1"/>
  <c r="N7" i="3" l="1"/>
  <c r="N9" i="3" s="1"/>
  <c r="N10" i="3" s="1"/>
  <c r="N11" i="3" s="1"/>
  <c r="N12" i="3" s="1"/>
  <c r="M7" i="3"/>
  <c r="M9" i="3" s="1"/>
  <c r="M10" i="3" s="1"/>
  <c r="M11" i="3" s="1"/>
  <c r="M12" i="3" s="1"/>
  <c r="L7" i="3"/>
  <c r="L9" i="3" s="1"/>
  <c r="L10" i="3" s="1"/>
  <c r="L11" i="3" s="1"/>
  <c r="L12" i="3" s="1"/>
  <c r="K7" i="3"/>
  <c r="K9" i="3" s="1"/>
  <c r="K10" i="3" s="1"/>
  <c r="K11" i="3" s="1"/>
  <c r="K12" i="3" s="1"/>
  <c r="J7" i="3"/>
  <c r="J9" i="3" s="1"/>
  <c r="J10" i="3" s="1"/>
  <c r="J11" i="3" s="1"/>
  <c r="J12" i="3" s="1"/>
  <c r="I7" i="3"/>
  <c r="I9" i="3" s="1"/>
  <c r="I10" i="3" s="1"/>
  <c r="I11" i="3" s="1"/>
  <c r="I12" i="3" s="1"/>
  <c r="H7" i="3"/>
  <c r="H9" i="3" s="1"/>
  <c r="H10" i="3" s="1"/>
  <c r="H11" i="3" s="1"/>
  <c r="H12" i="3" s="1"/>
  <c r="G7" i="3"/>
  <c r="G9" i="3" s="1"/>
  <c r="G10" i="3" s="1"/>
  <c r="G11" i="3" s="1"/>
  <c r="G12" i="3" s="1"/>
  <c r="F7" i="3"/>
  <c r="F9" i="3" s="1"/>
  <c r="F10" i="3" s="1"/>
  <c r="F11" i="3" s="1"/>
  <c r="F12" i="3" s="1"/>
  <c r="E7" i="3"/>
  <c r="E9" i="3" s="1"/>
  <c r="E10" i="3" s="1"/>
  <c r="E11" i="3" s="1"/>
  <c r="E12" i="3" s="1"/>
  <c r="D7" i="3"/>
  <c r="D9" i="3" s="1"/>
  <c r="D10" i="3" s="1"/>
  <c r="D11" i="3" s="1"/>
  <c r="D12" i="3" s="1"/>
  <c r="C7" i="3"/>
  <c r="C9" i="3" s="1"/>
  <c r="C10" i="3" s="1"/>
  <c r="C11" i="3" s="1"/>
  <c r="C12" i="3" s="1"/>
  <c r="C22" i="3"/>
  <c r="C15" i="3" l="1"/>
  <c r="C16" i="3" l="1"/>
  <c r="C17" i="3" s="1"/>
  <c r="C33" i="3" l="1"/>
  <c r="C19" i="3"/>
  <c r="C20" i="3"/>
  <c r="C30" i="3"/>
  <c r="D14" i="3"/>
  <c r="C24" i="3" l="1"/>
  <c r="C23" i="3"/>
  <c r="C31" i="3"/>
  <c r="D15" i="3"/>
  <c r="C26" i="3"/>
  <c r="C35" i="3"/>
  <c r="C29" i="3" l="1"/>
  <c r="C25" i="3"/>
  <c r="C36" i="3" s="1"/>
  <c r="D16" i="3"/>
  <c r="D17" i="3"/>
  <c r="E14" i="3" s="1"/>
  <c r="D21" i="3"/>
  <c r="C34" i="3"/>
  <c r="D33" i="3" l="1"/>
  <c r="D30" i="3"/>
  <c r="D19" i="3"/>
  <c r="D20" i="3"/>
  <c r="D26" i="3"/>
  <c r="D35" i="3"/>
  <c r="E15" i="3"/>
  <c r="D22" i="3"/>
  <c r="D23" i="3"/>
  <c r="E21" i="3" s="1"/>
  <c r="D24" i="3"/>
  <c r="D34" i="3"/>
  <c r="D31" i="3" l="1"/>
  <c r="E16" i="3"/>
  <c r="E17" i="3" s="1"/>
  <c r="F14" i="3" s="1"/>
  <c r="E22" i="3"/>
  <c r="D25" i="3"/>
  <c r="D36" i="3" s="1"/>
  <c r="D29" i="3"/>
  <c r="E33" i="3" l="1"/>
  <c r="E30" i="3"/>
  <c r="E19" i="3"/>
  <c r="E20" i="3"/>
  <c r="E26" i="3"/>
  <c r="E35" i="3"/>
  <c r="F15" i="3"/>
  <c r="E24" i="3" l="1"/>
  <c r="E23" i="3"/>
  <c r="E34" i="3" s="1"/>
  <c r="E31" i="3"/>
  <c r="F16" i="3"/>
  <c r="F17" i="3"/>
  <c r="G14" i="3" s="1"/>
  <c r="E29" i="3" l="1"/>
  <c r="E25" i="3"/>
  <c r="E36" i="3"/>
  <c r="F21" i="3"/>
  <c r="C13" i="1"/>
  <c r="F33" i="3"/>
  <c r="F30" i="3"/>
  <c r="F19" i="3"/>
  <c r="F20" i="3"/>
  <c r="F26" i="3"/>
  <c r="G15" i="3"/>
  <c r="F22" i="3" l="1"/>
  <c r="C9" i="1"/>
  <c r="C12" i="1" s="1"/>
  <c r="F31" i="3"/>
  <c r="G16" i="3"/>
  <c r="G17" i="3"/>
  <c r="H14" i="3" s="1"/>
  <c r="F35" i="3"/>
  <c r="G33" i="3" l="1"/>
  <c r="G30" i="3"/>
  <c r="G19" i="3"/>
  <c r="G20" i="3"/>
  <c r="G26" i="3"/>
  <c r="G35" i="3"/>
  <c r="H15" i="3"/>
  <c r="F24" i="3"/>
  <c r="F23" i="3"/>
  <c r="F34" i="3" s="1"/>
  <c r="G31" i="3" l="1"/>
  <c r="H16" i="3"/>
  <c r="H17" i="3"/>
  <c r="I14" i="3" s="1"/>
  <c r="F29" i="3"/>
  <c r="C8" i="1" s="1"/>
  <c r="H8" i="1" s="1"/>
  <c r="F25" i="3"/>
  <c r="F36" i="3" s="1"/>
  <c r="C10" i="1"/>
  <c r="G21" i="3"/>
  <c r="C11" i="1"/>
  <c r="H33" i="3" l="1"/>
  <c r="H30" i="3"/>
  <c r="H19" i="3"/>
  <c r="H20" i="3"/>
  <c r="H26" i="3"/>
  <c r="H35" i="3"/>
  <c r="I15" i="3"/>
  <c r="G22" i="3"/>
  <c r="G23" i="3"/>
  <c r="H21" i="3" s="1"/>
  <c r="H31" i="3" l="1"/>
  <c r="I16" i="3"/>
  <c r="I17" i="3" s="1"/>
  <c r="J14" i="3" s="1"/>
  <c r="H22" i="3"/>
  <c r="H23" i="3" s="1"/>
  <c r="H24" i="3"/>
  <c r="G24" i="3"/>
  <c r="G34" i="3"/>
  <c r="I33" i="3" l="1"/>
  <c r="I30" i="3"/>
  <c r="I19" i="3"/>
  <c r="I20" i="3"/>
  <c r="I26" i="3"/>
  <c r="I35" i="3"/>
  <c r="J15" i="3"/>
  <c r="H25" i="3"/>
  <c r="H36" i="3" s="1"/>
  <c r="H29" i="3"/>
  <c r="G29" i="3"/>
  <c r="G25" i="3"/>
  <c r="G36" i="3" s="1"/>
  <c r="H34" i="3"/>
  <c r="I21" i="3"/>
  <c r="I31" i="3" l="1"/>
  <c r="J16" i="3"/>
  <c r="J17" i="3"/>
  <c r="K14" i="3" s="1"/>
  <c r="I22" i="3"/>
  <c r="D13" i="1" l="1"/>
  <c r="J33" i="3"/>
  <c r="J30" i="3"/>
  <c r="J19" i="3"/>
  <c r="J20" i="3"/>
  <c r="J26" i="3"/>
  <c r="J35" i="3"/>
  <c r="K15" i="3"/>
  <c r="I24" i="3"/>
  <c r="I23" i="3"/>
  <c r="D9" i="1" l="1"/>
  <c r="D12" i="1" s="1"/>
  <c r="J31" i="3"/>
  <c r="K16" i="3"/>
  <c r="K17" i="3"/>
  <c r="L14" i="3" s="1"/>
  <c r="I29" i="3"/>
  <c r="I25" i="3"/>
  <c r="I36" i="3" s="1"/>
  <c r="I34" i="3"/>
  <c r="J21" i="3"/>
  <c r="K33" i="3" l="1"/>
  <c r="K30" i="3"/>
  <c r="K19" i="3"/>
  <c r="L15" i="3"/>
  <c r="J22" i="3"/>
  <c r="K31" i="3" l="1"/>
  <c r="L16" i="3"/>
  <c r="L17" i="3" s="1"/>
  <c r="M14" i="3" s="1"/>
  <c r="K20" i="3"/>
  <c r="K26" i="3"/>
  <c r="K35" i="3"/>
  <c r="J24" i="3"/>
  <c r="J23" i="3"/>
  <c r="J34" i="3" s="1"/>
  <c r="L33" i="3" l="1"/>
  <c r="L30" i="3"/>
  <c r="L19" i="3"/>
  <c r="L20" i="3"/>
  <c r="L26" i="3"/>
  <c r="L35" i="3"/>
  <c r="M15" i="3"/>
  <c r="J29" i="3"/>
  <c r="D8" i="1" s="1"/>
  <c r="H9" i="1" s="1"/>
  <c r="J25" i="3"/>
  <c r="J36" i="3" s="1"/>
  <c r="D10" i="1"/>
  <c r="K21" i="3"/>
  <c r="D11" i="1"/>
  <c r="L31" i="3" l="1"/>
  <c r="M16" i="3"/>
  <c r="M17" i="3" s="1"/>
  <c r="N14" i="3" s="1"/>
  <c r="K22" i="3"/>
  <c r="K23" i="3"/>
  <c r="L21" i="3" s="1"/>
  <c r="K24" i="3"/>
  <c r="K34" i="3"/>
  <c r="M33" i="3" l="1"/>
  <c r="M30" i="3"/>
  <c r="M19" i="3"/>
  <c r="M20" i="3"/>
  <c r="M26" i="3"/>
  <c r="M35" i="3"/>
  <c r="N15" i="3"/>
  <c r="L22" i="3"/>
  <c r="L23" i="3"/>
  <c r="M21" i="3" s="1"/>
  <c r="L24" i="3"/>
  <c r="L34" i="3"/>
  <c r="K25" i="3"/>
  <c r="K36" i="3" s="1"/>
  <c r="K29" i="3"/>
  <c r="M31" i="3" l="1"/>
  <c r="N16" i="3"/>
  <c r="N17" i="3"/>
  <c r="M22" i="3"/>
  <c r="M34" i="3" s="1"/>
  <c r="M23" i="3"/>
  <c r="N21" i="3" s="1"/>
  <c r="M24" i="3"/>
  <c r="L25" i="3"/>
  <c r="L36" i="3" s="1"/>
  <c r="L29" i="3"/>
  <c r="N33" i="3" l="1"/>
  <c r="E13" i="1"/>
  <c r="N30" i="3"/>
  <c r="N19" i="3"/>
  <c r="N20" i="3"/>
  <c r="N22" i="3"/>
  <c r="N24" i="3" s="1"/>
  <c r="E10" i="1" s="1"/>
  <c r="M25" i="3"/>
  <c r="M29" i="3"/>
  <c r="M36" i="3"/>
  <c r="E9" i="1" l="1"/>
  <c r="E12" i="1" s="1"/>
  <c r="N31" i="3"/>
  <c r="N25" i="3"/>
  <c r="N29" i="3"/>
  <c r="E8" i="1" s="1"/>
  <c r="H10" i="1" s="1"/>
  <c r="N26" i="3"/>
  <c r="N35" i="3"/>
  <c r="N23" i="3"/>
  <c r="N34" i="3"/>
  <c r="N36" i="3" l="1"/>
  <c r="E11" i="1"/>
</calcChain>
</file>

<file path=xl/sharedStrings.xml><?xml version="1.0" encoding="utf-8"?>
<sst xmlns="http://schemas.openxmlformats.org/spreadsheetml/2006/main" count="153" uniqueCount="107">
  <si>
    <t>Therapy A | patient-based forecast</t>
  </si>
  <si>
    <t>Selected scenario</t>
  </si>
  <si>
    <t>Annual forecast</t>
  </si>
  <si>
    <t>2027</t>
  </si>
  <si>
    <t>2028</t>
  </si>
  <si>
    <t>2029</t>
  </si>
  <si>
    <t>Year</t>
  </si>
  <si>
    <t>INR crore</t>
  </si>
  <si>
    <t>Revenue (INR crore)</t>
  </si>
  <si>
    <t>Therapy A new starts</t>
  </si>
  <si>
    <t>Average active Therapy A patients</t>
  </si>
  <si>
    <t>Year-end active Therapy A patients</t>
  </si>
  <si>
    <t>Therapy A share of new starts</t>
  </si>
  <si>
    <t>All-therapy new starts</t>
  </si>
  <si>
    <t>Use: choose a case in Assumptions!C3, review patient flow, then read annual revenue. Inputs are illustrative; this is a modelling exercise, not a real product forecast.</t>
  </si>
  <si>
    <t>Market share means share of new treatment starts, not share of all patients currently receiving treatment. See the case study for the method, assumptions and interview explanation.</t>
  </si>
  <si>
    <t>Editable forecast assumptions</t>
  </si>
  <si>
    <t>Scenario (edit C3)</t>
  </si>
  <si>
    <t>Base</t>
  </si>
  <si>
    <t>Blue = editable input; green = cross-sheet formula; black = calculation. Change one scenario selector; all forecast outputs update.</t>
  </si>
  <si>
    <t>Quarter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</si>
  <si>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</si>
  <si>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</si>
  <si>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</si>
  <si>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</si>
  <si>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</si>
  <si>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</si>
  <si>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</si>
  <si>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</si>
  <si>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</si>
  <si>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</si>
  <si>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</si>
  <si>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</si>
  <si>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Diagnosed fraction | Active</t>
  </si>
  <si>
    <t>Downside</t>
  </si>
  <si>
    <t>Upside</t>
  </si>
  <si>
    <t>Treated fraction of diagnosed | Active</t>
  </si>
  <si>
    <t>Second-line eligibility fraction | Active</t>
  </si>
  <si>
    <t>Quarterly uptake of available pool | Active</t>
  </si>
  <si>
    <t>Therapy A share of new starts | Active</t>
  </si>
  <si>
    <t>Quarterly treatment exit fraction | Active</t>
  </si>
  <si>
    <t>Net monthly price (INR) | Active</t>
  </si>
  <si>
    <t>Annual incidence growth | Active</t>
  </si>
  <si>
    <t>Quarter length (months)</t>
  </si>
  <si>
    <t>New-start timing within quarter</t>
  </si>
  <si>
    <t>Exit timing within quarter</t>
  </si>
  <si>
    <t>Second-line eligibility is a simplified aggregate fraction of treated diagnoses, not a clinical transition model. Change quarter-specific case inputs to model launch ramps.</t>
  </si>
  <si>
    <t>Timing = fraction of quarter with treatment: 50% for new starts; 50% for exiting opening patients. New starters cannot exit until the next quarter.</t>
  </si>
  <si>
    <t>Source of every assumption: synthetic portfolio design, 5 October 2026. No actual forecast accuracy, epidemiology estimates or client outcomes are claimed.</t>
  </si>
  <si>
    <t>Patient flow and commercial forecast</t>
  </si>
  <si>
    <t>Metric</t>
  </si>
  <si>
    <t>Incident patients this quarter</t>
  </si>
  <si>
    <t>Launch prevalent pool (one-time)</t>
  </si>
  <si>
    <t>Patients available for eligibility screening</t>
  </si>
  <si>
    <t>Diagnosed patients</t>
  </si>
  <si>
    <t>Treated diagnoses</t>
  </si>
  <si>
    <t>New second-line eligible patients</t>
  </si>
  <si>
    <t>Opening eligible patients awaiting uptake</t>
  </si>
  <si>
    <t>Available second-line eligible pool</t>
  </si>
  <si>
    <t>All-therapy starts this quarter</t>
  </si>
  <si>
    <t>Closing eligible patients awaiting uptake</t>
  </si>
  <si>
    <t>Other-therapy new starts</t>
  </si>
  <si>
    <t>Opening active Therapy A patients</t>
  </si>
  <si>
    <t>Therapy A treatment exits</t>
  </si>
  <si>
    <t>Closing active Therapy A patients</t>
  </si>
  <si>
    <t>Therapy A patient-months</t>
  </si>
  <si>
    <t>Net monthly price (INR)</t>
  </si>
  <si>
    <t>Therapy A revenue (INR)</t>
  </si>
  <si>
    <t>All-therapy new starts, cumulative</t>
  </si>
  <si>
    <t>Therapy A starts, cumulative</t>
  </si>
  <si>
    <t>Eligible-pool reconciliation difference</t>
  </si>
  <si>
    <t>Active-patient reconciliation difference</t>
  </si>
  <si>
    <t>Starts split reconciliation difference</t>
  </si>
  <si>
    <t>Negative stock / flow count</t>
  </si>
  <si>
    <t>Input assumption issues count</t>
  </si>
  <si>
    <t>Counts are expected aggregate patients, so decimals are retained. Revenue is patient-months × net monthly price; it excludes tax, distribution costs and profit.</t>
  </si>
  <si>
    <t>Synthetic market inputs</t>
  </si>
  <si>
    <t>Fictional Indication X and Therapy A. All numbers are invented for an Excel portfolio exercise, not clinical or market evidence.</t>
  </si>
  <si>
    <t>Record ID</t>
  </si>
  <si>
    <t>Segment</t>
  </si>
  <si>
    <t>Population</t>
  </si>
  <si>
    <t>Prevalence</t>
  </si>
  <si>
    <t>Annual incidence</t>
  </si>
  <si>
    <t>Include</t>
  </si>
  <si>
    <t>Review reason</t>
  </si>
  <si>
    <t>S01</t>
  </si>
  <si>
    <t>North</t>
  </si>
  <si>
    <t>Unique valid segment</t>
  </si>
  <si>
    <t>S02</t>
  </si>
  <si>
    <t>South</t>
  </si>
  <si>
    <t>S03</t>
  </si>
  <si>
    <t>East</t>
  </si>
  <si>
    <t>S04</t>
  </si>
  <si>
    <t>West</t>
  </si>
  <si>
    <t>S05</t>
  </si>
  <si>
    <t>Central</t>
  </si>
  <si>
    <t>East duplicate</t>
  </si>
  <si>
    <t>Duplicate ID; exclude</t>
  </si>
  <si>
    <t>S06</t>
  </si>
  <si>
    <t>Unspecified</t>
  </si>
  <si>
    <t>Missing population; exclude</t>
  </si>
  <si>
    <t>Included population</t>
  </si>
  <si>
    <t>Prevalent patients at launch</t>
  </si>
  <si>
    <t>Annual incident patients</t>
  </si>
  <si>
    <t>Data preparation: retain the original rows; exclude duplicate S03 and the missing-population row using Include = 0. Recheck these flags when replacing data.</t>
  </si>
  <si>
    <t>Population is a launch-market denominator. Prevalence defines the one-time launch pool; incidence supplies new quarterly patients. No identifiable patient data is used.</t>
  </si>
  <si>
    <t>Chinmayee Surwade | Launch forecast: January 2027 to December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</si>
</sst>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%"/>
    <numFmt numFmtId="166" formatCode="#,##0.0"/>
  </numFmts>
  <fonts count="10">
    <font>
      <sz val="11"/>
      <name val="Carlito"/>
    </font>
    <font>
      <sz val="11"/>
      <name val="Calibri"/>
    </font>
    <font>
      <b/>
      <sz val="11"/>
      <color rgb="FFFFFFFF"/>
      <name val="Calibri"/>
    </font>
    <font>
      <sz val="11"/>
      <color rgb="FF475569"/>
      <name val="Calibri"/>
    </font>
    <font>
      <sz val="11"/>
      <color rgb="FF2459C4"/>
      <name val="Calibri"/>
    </font>
    <font>
      <sz val="11"/>
      <color rgb="FF111827"/>
      <name val="Calibri"/>
    </font>
    <font>
      <b/>
      <sz val="11"/>
      <name val="Calibri"/>
    </font>
    <font>
      <b/>
      <sz val="11"/>
      <color rgb="FF111827"/>
      <name val="Calibri"/>
    </font>
    <font>
      <sz val="11"/>
      <color rgb="FF16803C"/>
      <name val="Calibri"/>
    </font>
    <font>
      <b/>
      <sz val="11"/>
      <color rgb="FF16803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87E8B"/>
      </patternFill>
    </fill>
    <fill>
      <patternFill patternType="solid">
        <fgColor rgb="FFDBEAFE"/>
      </patternFill>
    </fill>
    <fill>
      <patternFill patternType="solid">
        <fgColor rgb="FFE8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0" fontId="4" fillId="4" borderId="0" xfId="0" applyFont="1" applyFill="1"/>
    <xf numFmtId="0" fontId="6" fillId="5" borderId="0" xfId="0" applyFont="1" applyFill="1"/>
    <xf numFmtId="165" fontId="7" fillId="5" borderId="0" xfId="0" applyNumberFormat="1" applyFont="1" applyFill="1"/>
    <xf numFmtId="165" fontId="4" fillId="0" borderId="0" xfId="0" applyNumberFormat="1" applyFont="1"/>
    <xf numFmtId="3" fontId="7" fillId="5" borderId="0" xfId="0" applyNumberFormat="1" applyFont="1" applyFill="1"/>
    <xf numFmtId="0" fontId="8" fillId="0" borderId="0" xfId="0" applyFont="1"/>
    <xf numFmtId="166" fontId="8" fillId="0" borderId="0" xfId="0" applyNumberFormat="1" applyFont="1"/>
    <xf numFmtId="166" fontId="5" fillId="0" borderId="0" xfId="0" applyNumberFormat="1" applyFont="1"/>
    <xf numFmtId="166" fontId="1" fillId="0" borderId="0" xfId="0" applyNumberFormat="1" applyFont="1"/>
    <xf numFmtId="165" fontId="5" fillId="0" borderId="0" xfId="0" applyNumberFormat="1" applyFont="1"/>
    <xf numFmtId="3" fontId="8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1" fontId="8" fillId="0" borderId="0" xfId="0" applyNumberFormat="1" applyFont="1"/>
    <xf numFmtId="166" fontId="9" fillId="5" borderId="0" xfId="0" applyNumberFormat="1" applyFont="1" applyFill="1"/>
    <xf numFmtId="166" fontId="7" fillId="5" borderId="0" xfId="0" applyNumberFormat="1" applyFont="1" applyFill="1"/>
    <xf numFmtId="0" fontId="2" fillId="2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Annual revenue (INR crore)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INR crore</c:v>
          </c:tx>
          <c:spPr>
            <a:solidFill>
              <a:srgbClr val="087E8B"/>
            </a:solidFill>
          </c:spPr>
          <c:invertIfNegative val="1"/>
          <c:cat>
            <c:strRef>
              <c:f>Summary!$G$8:$G$10</c:f>
              <c:strCache>
                <c:ptCount val="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</c:strCache>
            </c:strRef>
          </c:cat>
          <c:val>
            <c:numRef>
              <c:f>Summary!$H$8:$H$10</c:f>
              <c:numCache>
                <c:formatCode>0.00</c:formatCode>
                <c:ptCount val="3"/>
                <c:pt idx="0">
                  <c:v>26.573163003757124</c:v>
                </c:pt>
                <c:pt idx="1">
                  <c:v>40.383105366675657</c:v>
                </c:pt>
                <c:pt idx="2">
                  <c:v>34.624706615064099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0E8-4782-A2A1-42D2C222E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pane ySplit="5" topLeftCell="A6" activePane="bottomLeft" state="frozen"/>
      <selection pane="bottomLeft" activeCell="B3" sqref="B3:H3"/>
    </sheetView>
  </sheetViews>
  <sheetFormatPr defaultRowHeight="13.5"/>
  <cols>
    <col min="1" max="1" width="3" customWidth="1"/>
    <col min="2" max="2" width="47" customWidth="1"/>
    <col min="3" max="14" width="15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1"/>
      <c r="B2" s="24" t="s">
        <v>0</v>
      </c>
      <c r="C2" s="24"/>
      <c r="D2" s="24"/>
      <c r="E2" s="24"/>
      <c r="F2" s="24"/>
      <c r="G2" s="24"/>
      <c r="H2" s="24"/>
    </row>
    <row r="3" spans="1:8" ht="40.049999999999997" customHeight="1">
      <c r="A3" s="1"/>
      <c r="B3" s="25" t="s">
        <v>106</v>
      </c>
      <c r="C3" s="25"/>
      <c r="D3" s="25"/>
      <c r="E3" s="25"/>
      <c r="F3" s="25"/>
      <c r="G3" s="25"/>
      <c r="H3" s="25"/>
    </row>
    <row r="4" spans="1:8" ht="24" customHeight="1">
      <c r="A4" s="1"/>
      <c r="B4" s="1"/>
      <c r="C4" s="1"/>
      <c r="D4" s="1"/>
      <c r="E4" s="1"/>
      <c r="F4" s="1"/>
      <c r="G4" s="1"/>
      <c r="H4" s="1"/>
    </row>
    <row r="5" spans="1:8" ht="24" customHeight="1">
      <c r="A5" s="1"/>
      <c r="B5" s="1" t="s">
        <v>1</v>
      </c>
      <c r="C5" s="13" t="str">
        <f>Assumptions!C3</f>
        <v>Base</v>
      </c>
      <c r="D5" s="1"/>
      <c r="E5" s="1"/>
      <c r="F5" s="1"/>
      <c r="G5" s="1"/>
      <c r="H5" s="1"/>
    </row>
    <row r="6" spans="1:8" ht="24" customHeight="1">
      <c r="A6" s="1"/>
      <c r="B6" s="1"/>
      <c r="C6" s="1"/>
      <c r="D6" s="1"/>
      <c r="E6" s="1"/>
      <c r="F6" s="1"/>
      <c r="G6" s="1"/>
      <c r="H6" s="1"/>
    </row>
    <row r="7" spans="1:8" ht="24" customHeight="1">
      <c r="A7" s="1"/>
      <c r="B7" s="2" t="s">
        <v>2</v>
      </c>
      <c r="C7" s="2" t="s">
        <v>3</v>
      </c>
      <c r="D7" s="2" t="s">
        <v>4</v>
      </c>
      <c r="E7" s="2" t="s">
        <v>5</v>
      </c>
      <c r="F7" s="1"/>
      <c r="G7" s="2" t="s">
        <v>6</v>
      </c>
      <c r="H7" s="2" t="s">
        <v>7</v>
      </c>
    </row>
    <row r="8" spans="1:8" ht="24" customHeight="1">
      <c r="A8" s="1"/>
      <c r="B8" s="1" t="s">
        <v>8</v>
      </c>
      <c r="C8" s="19">
        <f>SUM('Patient forecast'!C29:F29)/10000000</f>
        <v>26.573163003757124</v>
      </c>
      <c r="D8" s="19">
        <f>SUM('Patient forecast'!G29:J29)/10000000</f>
        <v>40.383105366675657</v>
      </c>
      <c r="E8" s="19">
        <f>SUM('Patient forecast'!K29:N29)/10000000</f>
        <v>34.624706615064099</v>
      </c>
      <c r="F8" s="1"/>
      <c r="G8" s="1" t="s">
        <v>3</v>
      </c>
      <c r="H8" s="19">
        <f>C8</f>
        <v>26.573163003757124</v>
      </c>
    </row>
    <row r="9" spans="1:8" ht="24" customHeight="1">
      <c r="A9" s="1"/>
      <c r="B9" s="1" t="s">
        <v>9</v>
      </c>
      <c r="C9" s="15">
        <f>SUM('Patient forecast'!C19:F19)</f>
        <v>2575.2150749429998</v>
      </c>
      <c r="D9" s="15">
        <f>SUM('Patient forecast'!G19:J19)</f>
        <v>1609.5600979970211</v>
      </c>
      <c r="E9" s="15">
        <f>SUM('Patient forecast'!K19:N19)</f>
        <v>1181.8714567861507</v>
      </c>
      <c r="F9" s="1"/>
      <c r="G9" s="1" t="s">
        <v>4</v>
      </c>
      <c r="H9" s="19">
        <f>D8</f>
        <v>40.383105366675657</v>
      </c>
    </row>
    <row r="10" spans="1:8" ht="24" customHeight="1">
      <c r="A10" s="1"/>
      <c r="B10" s="1" t="s">
        <v>10</v>
      </c>
      <c r="C10" s="15">
        <f>SUM('Patient forecast'!C24:F24)/12</f>
        <v>1107.2151251565467</v>
      </c>
      <c r="D10" s="15">
        <f>SUM('Patient forecast'!G24:J24)/12</f>
        <v>1682.6293902781524</v>
      </c>
      <c r="E10" s="15">
        <f>SUM('Patient forecast'!K24:N24)/12</f>
        <v>1442.696108961004</v>
      </c>
      <c r="F10" s="1"/>
      <c r="G10" s="1" t="s">
        <v>5</v>
      </c>
      <c r="H10" s="19">
        <f>E8</f>
        <v>34.624706615064099</v>
      </c>
    </row>
    <row r="11" spans="1:8" ht="24" customHeight="1">
      <c r="A11" s="1"/>
      <c r="B11" s="1" t="s">
        <v>11</v>
      </c>
      <c r="C11" s="15">
        <f>'Patient forecast'!F23</f>
        <v>1677.7142283273747</v>
      </c>
      <c r="D11" s="15">
        <f>'Patient forecast'!J23</f>
        <v>1594.2064657203673</v>
      </c>
      <c r="E11" s="15">
        <f>'Patient forecast'!N23</f>
        <v>1296.1211489491066</v>
      </c>
      <c r="F11" s="1"/>
      <c r="G11" s="1"/>
      <c r="H11" s="1"/>
    </row>
    <row r="12" spans="1:8" ht="24" customHeight="1">
      <c r="A12" s="1"/>
      <c r="B12" s="1" t="s">
        <v>12</v>
      </c>
      <c r="C12" s="17">
        <f>IF(C13=0,0,C9/C13)</f>
        <v>0.25</v>
      </c>
      <c r="D12" s="17">
        <f>IF(D13=0,0,D9/D13)</f>
        <v>0.25</v>
      </c>
      <c r="E12" s="17">
        <f>IF(E13=0,0,E9/E13)</f>
        <v>0.25</v>
      </c>
      <c r="F12" s="1"/>
      <c r="G12" s="1"/>
      <c r="H12" s="1"/>
    </row>
    <row r="13" spans="1:8" ht="24" customHeight="1">
      <c r="A13" s="1"/>
      <c r="B13" s="1" t="s">
        <v>13</v>
      </c>
      <c r="C13" s="15">
        <f>SUM('Patient forecast'!C16:F16)</f>
        <v>10300.860299771999</v>
      </c>
      <c r="D13" s="15">
        <f>SUM('Patient forecast'!G16:J16)</f>
        <v>6438.2403919880844</v>
      </c>
      <c r="E13" s="15">
        <f>SUM('Patient forecast'!K16:N16)</f>
        <v>4727.4858271446028</v>
      </c>
      <c r="F13" s="1"/>
      <c r="G13" s="1"/>
      <c r="H13" s="1"/>
    </row>
    <row r="14" spans="1:8" ht="24" customHeight="1">
      <c r="A14" s="1"/>
      <c r="B14" s="1"/>
      <c r="C14" s="1"/>
      <c r="D14" s="1"/>
      <c r="E14" s="1"/>
      <c r="F14" s="1"/>
      <c r="G14" s="1"/>
      <c r="H14" s="1"/>
    </row>
    <row r="15" spans="1:8" ht="40.049999999999997" customHeight="1">
      <c r="A15" s="1"/>
      <c r="B15" s="25" t="s">
        <v>14</v>
      </c>
      <c r="C15" s="25"/>
      <c r="D15" s="25"/>
      <c r="E15" s="25"/>
      <c r="F15" s="25"/>
      <c r="G15" s="25"/>
      <c r="H15" s="25"/>
    </row>
    <row r="16" spans="1:8" ht="24" customHeight="1">
      <c r="A16" s="1"/>
      <c r="B16" s="1"/>
      <c r="C16" s="1"/>
      <c r="D16" s="1"/>
      <c r="E16" s="1"/>
      <c r="F16" s="1"/>
      <c r="G16" s="1"/>
      <c r="H16" s="1"/>
    </row>
    <row r="17" spans="1:8" ht="24" customHeight="1">
      <c r="A17" s="1"/>
      <c r="B17" s="1"/>
      <c r="C17" s="1"/>
      <c r="D17" s="1"/>
      <c r="E17" s="1"/>
      <c r="F17" s="1"/>
      <c r="G17" s="1"/>
      <c r="H17" s="1"/>
    </row>
    <row r="18" spans="1:8" ht="24" customHeight="1">
      <c r="A18" s="1"/>
      <c r="B18" s="1"/>
      <c r="C18" s="1"/>
      <c r="D18" s="1"/>
      <c r="E18" s="1"/>
      <c r="F18" s="1"/>
      <c r="G18" s="1"/>
      <c r="H18" s="1"/>
    </row>
    <row r="19" spans="1:8" ht="24" customHeight="1">
      <c r="A19" s="1"/>
      <c r="B19" s="1"/>
      <c r="C19" s="1"/>
      <c r="D19" s="1"/>
      <c r="E19" s="1"/>
      <c r="F19" s="1"/>
      <c r="G19" s="1"/>
      <c r="H19" s="1"/>
    </row>
    <row r="20" spans="1:8" ht="24" customHeight="1">
      <c r="A20" s="1"/>
      <c r="B20" s="1"/>
      <c r="C20" s="1"/>
      <c r="D20" s="1"/>
      <c r="E20" s="1"/>
      <c r="F20" s="1"/>
      <c r="G20" s="1"/>
      <c r="H20" s="1"/>
    </row>
    <row r="21" spans="1:8" ht="24" customHeight="1">
      <c r="A21" s="1"/>
      <c r="B21" s="1"/>
      <c r="C21" s="1"/>
      <c r="D21" s="1"/>
      <c r="E21" s="1"/>
      <c r="F21" s="1"/>
      <c r="G21" s="1"/>
      <c r="H21" s="1"/>
    </row>
    <row r="22" spans="1:8" ht="24" customHeight="1">
      <c r="A22" s="1"/>
      <c r="B22" s="1"/>
      <c r="C22" s="1"/>
      <c r="D22" s="1"/>
      <c r="E22" s="1"/>
      <c r="F22" s="1"/>
      <c r="G22" s="1"/>
      <c r="H22" s="1"/>
    </row>
    <row r="23" spans="1:8" ht="24" customHeight="1">
      <c r="A23" s="1"/>
      <c r="B23" s="1"/>
      <c r="C23" s="1"/>
      <c r="D23" s="1"/>
      <c r="E23" s="1"/>
      <c r="F23" s="1"/>
      <c r="G23" s="1"/>
      <c r="H23" s="1"/>
    </row>
    <row r="24" spans="1:8" ht="24" customHeight="1">
      <c r="A24" s="1"/>
      <c r="B24" s="1"/>
      <c r="C24" s="1"/>
      <c r="D24" s="1"/>
      <c r="E24" s="1"/>
      <c r="F24" s="1"/>
      <c r="G24" s="1"/>
      <c r="H24" s="1"/>
    </row>
    <row r="25" spans="1:8" ht="24" customHeight="1">
      <c r="A25" s="1"/>
      <c r="B25" s="1"/>
      <c r="C25" s="1"/>
      <c r="D25" s="1"/>
      <c r="E25" s="1"/>
      <c r="F25" s="1"/>
      <c r="G25" s="1"/>
      <c r="H25" s="1"/>
    </row>
    <row r="26" spans="1:8" ht="24" customHeight="1">
      <c r="A26" s="1"/>
      <c r="B26" s="1"/>
      <c r="C26" s="1"/>
      <c r="D26" s="1"/>
      <c r="E26" s="1"/>
      <c r="F26" s="1"/>
      <c r="G26" s="1"/>
      <c r="H26" s="1"/>
    </row>
    <row r="27" spans="1:8" ht="24" customHeight="1">
      <c r="A27" s="1"/>
      <c r="B27" s="1"/>
      <c r="C27" s="1"/>
      <c r="D27" s="1"/>
      <c r="E27" s="1"/>
      <c r="F27" s="1"/>
      <c r="G27" s="1"/>
      <c r="H27" s="1"/>
    </row>
    <row r="28" spans="1:8" ht="24" customHeight="1">
      <c r="A28" s="1"/>
      <c r="B28" s="1"/>
      <c r="C28" s="1"/>
      <c r="D28" s="1"/>
      <c r="E28" s="1"/>
      <c r="F28" s="1"/>
      <c r="G28" s="1"/>
      <c r="H28" s="1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24" customHeight="1">
      <c r="A30" s="1"/>
      <c r="B30" s="1"/>
      <c r="C30" s="1"/>
      <c r="D30" s="1"/>
      <c r="E30" s="1"/>
      <c r="F30" s="1"/>
      <c r="G30" s="1"/>
      <c r="H30" s="1"/>
    </row>
    <row r="31" spans="1:8" ht="40.049999999999997" customHeight="1">
      <c r="A31" s="1"/>
      <c r="B31" s="25" t="s">
        <v>15</v>
      </c>
      <c r="C31" s="25"/>
      <c r="D31" s="25"/>
      <c r="E31" s="25"/>
      <c r="F31" s="25"/>
      <c r="G31" s="25"/>
      <c r="H31" s="25"/>
    </row>
    <row r="32" spans="1:8" ht="24" customHeight="1">
      <c r="A32" s="1"/>
      <c r="B32" s="1"/>
      <c r="C32" s="1"/>
      <c r="D32" s="1"/>
      <c r="E32" s="1"/>
      <c r="F32" s="1"/>
      <c r="G32" s="1"/>
      <c r="H32" s="1"/>
    </row>
  </sheetData>
  <mergeCells count="4">
    <mergeCell ref="B2:H2"/>
    <mergeCell ref="B3:H3"/>
    <mergeCell ref="B15:H15"/>
    <mergeCell ref="B31:H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3" customWidth="1"/>
    <col min="2" max="2" width="47" customWidth="1"/>
    <col min="3" max="14" width="15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1"/>
      <c r="B2" s="24" t="s">
        <v>16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40.049999999999997" customHeight="1">
      <c r="A3" s="1"/>
      <c r="B3" s="1" t="s">
        <v>17</v>
      </c>
      <c r="C3" s="8" t="s">
        <v>18</v>
      </c>
      <c r="D3" s="25" t="s">
        <v>19</v>
      </c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/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</row>
    <row r="6" spans="1:14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4" customHeight="1">
      <c r="A7" s="1"/>
      <c r="B7" s="9" t="s">
        <v>33</v>
      </c>
      <c r="C7" s="10">
        <f t="shared" ref="C7:N7" si="0">IF($C$3="Downside",IF(ISBLANK(C8),"",C8),IF($C$3="Base",IF(ISBLANK(C9),"",C9),IF(ISBLANK(C10),"",C10)))</f>
        <v>0.7</v>
      </c>
      <c r="D7" s="10">
        <f t="shared" si="0"/>
        <v>0.7</v>
      </c>
      <c r="E7" s="10">
        <f t="shared" si="0"/>
        <v>0.7</v>
      </c>
      <c r="F7" s="10">
        <f t="shared" si="0"/>
        <v>0.7</v>
      </c>
      <c r="G7" s="10">
        <f t="shared" si="0"/>
        <v>0.7</v>
      </c>
      <c r="H7" s="10">
        <f t="shared" si="0"/>
        <v>0.7</v>
      </c>
      <c r="I7" s="10">
        <f t="shared" si="0"/>
        <v>0.7</v>
      </c>
      <c r="J7" s="10">
        <f t="shared" si="0"/>
        <v>0.7</v>
      </c>
      <c r="K7" s="10">
        <f t="shared" si="0"/>
        <v>0.7</v>
      </c>
      <c r="L7" s="10">
        <f t="shared" si="0"/>
        <v>0.7</v>
      </c>
      <c r="M7" s="10">
        <f t="shared" si="0"/>
        <v>0.7</v>
      </c>
      <c r="N7" s="10">
        <f t="shared" si="0"/>
        <v>0.7</v>
      </c>
    </row>
    <row r="8" spans="1:14" ht="24" customHeight="1">
      <c r="A8" s="1"/>
      <c r="B8" s="1" t="s">
        <v>34</v>
      </c>
      <c r="C8" s="11">
        <v>0.6</v>
      </c>
      <c r="D8" s="11">
        <v>0.6</v>
      </c>
      <c r="E8" s="11">
        <v>0.6</v>
      </c>
      <c r="F8" s="11">
        <v>0.6</v>
      </c>
      <c r="G8" s="11">
        <v>0.6</v>
      </c>
      <c r="H8" s="11">
        <v>0.6</v>
      </c>
      <c r="I8" s="11">
        <v>0.6</v>
      </c>
      <c r="J8" s="11">
        <v>0.6</v>
      </c>
      <c r="K8" s="11">
        <v>0.6</v>
      </c>
      <c r="L8" s="11">
        <v>0.6</v>
      </c>
      <c r="M8" s="11">
        <v>0.6</v>
      </c>
      <c r="N8" s="11">
        <v>0.6</v>
      </c>
    </row>
    <row r="9" spans="1:14" ht="24" customHeight="1">
      <c r="A9" s="1"/>
      <c r="B9" s="1" t="s">
        <v>18</v>
      </c>
      <c r="C9" s="11">
        <v>0.7</v>
      </c>
      <c r="D9" s="11">
        <v>0.7</v>
      </c>
      <c r="E9" s="11">
        <v>0.7</v>
      </c>
      <c r="F9" s="11">
        <v>0.7</v>
      </c>
      <c r="G9" s="11">
        <v>0.7</v>
      </c>
      <c r="H9" s="11">
        <v>0.7</v>
      </c>
      <c r="I9" s="11">
        <v>0.7</v>
      </c>
      <c r="J9" s="11">
        <v>0.7</v>
      </c>
      <c r="K9" s="11">
        <v>0.7</v>
      </c>
      <c r="L9" s="11">
        <v>0.7</v>
      </c>
      <c r="M9" s="11">
        <v>0.7</v>
      </c>
      <c r="N9" s="11">
        <v>0.7</v>
      </c>
    </row>
    <row r="10" spans="1:14" ht="24" customHeight="1">
      <c r="A10" s="1"/>
      <c r="B10" s="1" t="s">
        <v>35</v>
      </c>
      <c r="C10" s="11">
        <v>0.8</v>
      </c>
      <c r="D10" s="11">
        <v>0.8</v>
      </c>
      <c r="E10" s="11">
        <v>0.8</v>
      </c>
      <c r="F10" s="11">
        <v>0.8</v>
      </c>
      <c r="G10" s="11">
        <v>0.8</v>
      </c>
      <c r="H10" s="11">
        <v>0.8</v>
      </c>
      <c r="I10" s="11">
        <v>0.8</v>
      </c>
      <c r="J10" s="11">
        <v>0.8</v>
      </c>
      <c r="K10" s="11">
        <v>0.8</v>
      </c>
      <c r="L10" s="11">
        <v>0.8</v>
      </c>
      <c r="M10" s="11">
        <v>0.8</v>
      </c>
      <c r="N10" s="11">
        <v>0.8</v>
      </c>
    </row>
    <row r="11" spans="1:14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4" customHeight="1">
      <c r="A12" s="1"/>
      <c r="B12" s="9" t="s">
        <v>36</v>
      </c>
      <c r="C12" s="10">
        <f t="shared" ref="C12:N12" si="1">IF($C$3="Downside",IF(ISBLANK(C13),"",C13),IF($C$3="Base",IF(ISBLANK(C14),"",C14),IF(ISBLANK(C15),"",C15)))</f>
        <v>0.75</v>
      </c>
      <c r="D12" s="10">
        <f t="shared" si="1"/>
        <v>0.75</v>
      </c>
      <c r="E12" s="10">
        <f t="shared" si="1"/>
        <v>0.75</v>
      </c>
      <c r="F12" s="10">
        <f t="shared" si="1"/>
        <v>0.75</v>
      </c>
      <c r="G12" s="10">
        <f t="shared" si="1"/>
        <v>0.75</v>
      </c>
      <c r="H12" s="10">
        <f t="shared" si="1"/>
        <v>0.75</v>
      </c>
      <c r="I12" s="10">
        <f t="shared" si="1"/>
        <v>0.75</v>
      </c>
      <c r="J12" s="10">
        <f t="shared" si="1"/>
        <v>0.75</v>
      </c>
      <c r="K12" s="10">
        <f t="shared" si="1"/>
        <v>0.75</v>
      </c>
      <c r="L12" s="10">
        <f t="shared" si="1"/>
        <v>0.75</v>
      </c>
      <c r="M12" s="10">
        <f t="shared" si="1"/>
        <v>0.75</v>
      </c>
      <c r="N12" s="10">
        <f t="shared" si="1"/>
        <v>0.75</v>
      </c>
    </row>
    <row r="13" spans="1:14" ht="24" customHeight="1">
      <c r="A13" s="1"/>
      <c r="B13" s="1" t="s">
        <v>34</v>
      </c>
      <c r="C13" s="11">
        <v>0.65</v>
      </c>
      <c r="D13" s="11">
        <v>0.65</v>
      </c>
      <c r="E13" s="11">
        <v>0.65</v>
      </c>
      <c r="F13" s="11">
        <v>0.65</v>
      </c>
      <c r="G13" s="11">
        <v>0.65</v>
      </c>
      <c r="H13" s="11">
        <v>0.65</v>
      </c>
      <c r="I13" s="11">
        <v>0.65</v>
      </c>
      <c r="J13" s="11">
        <v>0.65</v>
      </c>
      <c r="K13" s="11">
        <v>0.65</v>
      </c>
      <c r="L13" s="11">
        <v>0.65</v>
      </c>
      <c r="M13" s="11">
        <v>0.65</v>
      </c>
      <c r="N13" s="11">
        <v>0.65</v>
      </c>
    </row>
    <row r="14" spans="1:14" ht="24" customHeight="1">
      <c r="A14" s="1"/>
      <c r="B14" s="1" t="s">
        <v>18</v>
      </c>
      <c r="C14" s="11">
        <v>0.75</v>
      </c>
      <c r="D14" s="11">
        <v>0.75</v>
      </c>
      <c r="E14" s="11">
        <v>0.75</v>
      </c>
      <c r="F14" s="11">
        <v>0.75</v>
      </c>
      <c r="G14" s="11">
        <v>0.75</v>
      </c>
      <c r="H14" s="11">
        <v>0.75</v>
      </c>
      <c r="I14" s="11">
        <v>0.75</v>
      </c>
      <c r="J14" s="11">
        <v>0.75</v>
      </c>
      <c r="K14" s="11">
        <v>0.75</v>
      </c>
      <c r="L14" s="11">
        <v>0.75</v>
      </c>
      <c r="M14" s="11">
        <v>0.75</v>
      </c>
      <c r="N14" s="11">
        <v>0.75</v>
      </c>
    </row>
    <row r="15" spans="1:14" ht="24" customHeight="1">
      <c r="A15" s="1"/>
      <c r="B15" s="1" t="s">
        <v>35</v>
      </c>
      <c r="C15" s="11">
        <v>0.85</v>
      </c>
      <c r="D15" s="11">
        <v>0.85</v>
      </c>
      <c r="E15" s="11">
        <v>0.85</v>
      </c>
      <c r="F15" s="11">
        <v>0.85</v>
      </c>
      <c r="G15" s="11">
        <v>0.85</v>
      </c>
      <c r="H15" s="11">
        <v>0.85</v>
      </c>
      <c r="I15" s="11">
        <v>0.85</v>
      </c>
      <c r="J15" s="11">
        <v>0.85</v>
      </c>
      <c r="K15" s="11">
        <v>0.85</v>
      </c>
      <c r="L15" s="11">
        <v>0.85</v>
      </c>
      <c r="M15" s="11">
        <v>0.85</v>
      </c>
      <c r="N15" s="11">
        <v>0.85</v>
      </c>
    </row>
    <row r="16" spans="1:14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4" customHeight="1">
      <c r="A17" s="1"/>
      <c r="B17" s="9" t="s">
        <v>37</v>
      </c>
      <c r="C17" s="10">
        <f t="shared" ref="C17:N17" si="2">IF($C$3="Downside",IF(ISBLANK(C18),"",C18),IF($C$3="Base",IF(ISBLANK(C19),"",C19),IF(ISBLANK(C20),"",C20)))</f>
        <v>0.3</v>
      </c>
      <c r="D17" s="10">
        <f t="shared" si="2"/>
        <v>0.3</v>
      </c>
      <c r="E17" s="10">
        <f t="shared" si="2"/>
        <v>0.3</v>
      </c>
      <c r="F17" s="10">
        <f t="shared" si="2"/>
        <v>0.3</v>
      </c>
      <c r="G17" s="10">
        <f t="shared" si="2"/>
        <v>0.3</v>
      </c>
      <c r="H17" s="10">
        <f t="shared" si="2"/>
        <v>0.3</v>
      </c>
      <c r="I17" s="10">
        <f t="shared" si="2"/>
        <v>0.3</v>
      </c>
      <c r="J17" s="10">
        <f t="shared" si="2"/>
        <v>0.3</v>
      </c>
      <c r="K17" s="10">
        <f t="shared" si="2"/>
        <v>0.3</v>
      </c>
      <c r="L17" s="10">
        <f t="shared" si="2"/>
        <v>0.3</v>
      </c>
      <c r="M17" s="10">
        <f t="shared" si="2"/>
        <v>0.3</v>
      </c>
      <c r="N17" s="10">
        <f t="shared" si="2"/>
        <v>0.3</v>
      </c>
    </row>
    <row r="18" spans="1:14" ht="24" customHeight="1">
      <c r="A18" s="1"/>
      <c r="B18" s="1" t="s">
        <v>34</v>
      </c>
      <c r="C18" s="11">
        <v>0.25</v>
      </c>
      <c r="D18" s="11">
        <v>0.25</v>
      </c>
      <c r="E18" s="11">
        <v>0.25</v>
      </c>
      <c r="F18" s="11">
        <v>0.25</v>
      </c>
      <c r="G18" s="11">
        <v>0.25</v>
      </c>
      <c r="H18" s="11">
        <v>0.25</v>
      </c>
      <c r="I18" s="11">
        <v>0.25</v>
      </c>
      <c r="J18" s="11">
        <v>0.25</v>
      </c>
      <c r="K18" s="11">
        <v>0.25</v>
      </c>
      <c r="L18" s="11">
        <v>0.25</v>
      </c>
      <c r="M18" s="11">
        <v>0.25</v>
      </c>
      <c r="N18" s="11">
        <v>0.25</v>
      </c>
    </row>
    <row r="19" spans="1:14" ht="24" customHeight="1">
      <c r="A19" s="1"/>
      <c r="B19" s="1" t="s">
        <v>18</v>
      </c>
      <c r="C19" s="11">
        <v>0.3</v>
      </c>
      <c r="D19" s="11">
        <v>0.3</v>
      </c>
      <c r="E19" s="11">
        <v>0.3</v>
      </c>
      <c r="F19" s="11">
        <v>0.3</v>
      </c>
      <c r="G19" s="11">
        <v>0.3</v>
      </c>
      <c r="H19" s="11">
        <v>0.3</v>
      </c>
      <c r="I19" s="11">
        <v>0.3</v>
      </c>
      <c r="J19" s="11">
        <v>0.3</v>
      </c>
      <c r="K19" s="11">
        <v>0.3</v>
      </c>
      <c r="L19" s="11">
        <v>0.3</v>
      </c>
      <c r="M19" s="11">
        <v>0.3</v>
      </c>
      <c r="N19" s="11">
        <v>0.3</v>
      </c>
    </row>
    <row r="20" spans="1:14" ht="24" customHeight="1">
      <c r="A20" s="1"/>
      <c r="B20" s="1" t="s">
        <v>35</v>
      </c>
      <c r="C20" s="11">
        <v>0.35</v>
      </c>
      <c r="D20" s="11">
        <v>0.35</v>
      </c>
      <c r="E20" s="11">
        <v>0.35</v>
      </c>
      <c r="F20" s="11">
        <v>0.35</v>
      </c>
      <c r="G20" s="11">
        <v>0.35</v>
      </c>
      <c r="H20" s="11">
        <v>0.35</v>
      </c>
      <c r="I20" s="11">
        <v>0.35</v>
      </c>
      <c r="J20" s="11">
        <v>0.35</v>
      </c>
      <c r="K20" s="11">
        <v>0.35</v>
      </c>
      <c r="L20" s="11">
        <v>0.35</v>
      </c>
      <c r="M20" s="11">
        <v>0.35</v>
      </c>
      <c r="N20" s="11">
        <v>0.35</v>
      </c>
    </row>
    <row r="21" spans="1:14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4" customHeight="1">
      <c r="A22" s="1"/>
      <c r="B22" s="9" t="s">
        <v>38</v>
      </c>
      <c r="C22" s="10">
        <f t="shared" ref="C22:N22" si="3">IF($C$3="Downside",IF(ISBLANK(C23),"",C23),IF($C$3="Base",IF(ISBLANK(C24),"",C24),IF(ISBLANK(C25),"",C25)))</f>
        <v>0.18</v>
      </c>
      <c r="D22" s="10">
        <f t="shared" si="3"/>
        <v>0.18</v>
      </c>
      <c r="E22" s="10">
        <f t="shared" si="3"/>
        <v>0.18</v>
      </c>
      <c r="F22" s="10">
        <f t="shared" si="3"/>
        <v>0.18</v>
      </c>
      <c r="G22" s="10">
        <f t="shared" si="3"/>
        <v>0.18</v>
      </c>
      <c r="H22" s="10">
        <f t="shared" si="3"/>
        <v>0.18</v>
      </c>
      <c r="I22" s="10">
        <f t="shared" si="3"/>
        <v>0.18</v>
      </c>
      <c r="J22" s="10">
        <f t="shared" si="3"/>
        <v>0.18</v>
      </c>
      <c r="K22" s="10">
        <f t="shared" si="3"/>
        <v>0.18</v>
      </c>
      <c r="L22" s="10">
        <f t="shared" si="3"/>
        <v>0.18</v>
      </c>
      <c r="M22" s="10">
        <f t="shared" si="3"/>
        <v>0.18</v>
      </c>
      <c r="N22" s="10">
        <f t="shared" si="3"/>
        <v>0.18</v>
      </c>
    </row>
    <row r="23" spans="1:14" ht="24" customHeight="1">
      <c r="A23" s="1"/>
      <c r="B23" s="1" t="s">
        <v>34</v>
      </c>
      <c r="C23" s="11">
        <v>0.1</v>
      </c>
      <c r="D23" s="11">
        <v>0.1</v>
      </c>
      <c r="E23" s="11">
        <v>0.1</v>
      </c>
      <c r="F23" s="11">
        <v>0.1</v>
      </c>
      <c r="G23" s="11">
        <v>0.1</v>
      </c>
      <c r="H23" s="11">
        <v>0.1</v>
      </c>
      <c r="I23" s="11">
        <v>0.1</v>
      </c>
      <c r="J23" s="11">
        <v>0.1</v>
      </c>
      <c r="K23" s="11">
        <v>0.1</v>
      </c>
      <c r="L23" s="11">
        <v>0.1</v>
      </c>
      <c r="M23" s="11">
        <v>0.1</v>
      </c>
      <c r="N23" s="11">
        <v>0.1</v>
      </c>
    </row>
    <row r="24" spans="1:14" ht="24" customHeight="1">
      <c r="A24" s="1"/>
      <c r="B24" s="1" t="s">
        <v>18</v>
      </c>
      <c r="C24" s="11">
        <v>0.18</v>
      </c>
      <c r="D24" s="11">
        <v>0.18</v>
      </c>
      <c r="E24" s="11">
        <v>0.18</v>
      </c>
      <c r="F24" s="11">
        <v>0.18</v>
      </c>
      <c r="G24" s="11">
        <v>0.18</v>
      </c>
      <c r="H24" s="11">
        <v>0.18</v>
      </c>
      <c r="I24" s="11">
        <v>0.18</v>
      </c>
      <c r="J24" s="11">
        <v>0.18</v>
      </c>
      <c r="K24" s="11">
        <v>0.18</v>
      </c>
      <c r="L24" s="11">
        <v>0.18</v>
      </c>
      <c r="M24" s="11">
        <v>0.18</v>
      </c>
      <c r="N24" s="11">
        <v>0.18</v>
      </c>
    </row>
    <row r="25" spans="1:14" ht="24" customHeight="1">
      <c r="A25" s="1"/>
      <c r="B25" s="1" t="s">
        <v>35</v>
      </c>
      <c r="C25" s="11">
        <v>0.26</v>
      </c>
      <c r="D25" s="11">
        <v>0.26</v>
      </c>
      <c r="E25" s="11">
        <v>0.26</v>
      </c>
      <c r="F25" s="11">
        <v>0.26</v>
      </c>
      <c r="G25" s="11">
        <v>0.26</v>
      </c>
      <c r="H25" s="11">
        <v>0.26</v>
      </c>
      <c r="I25" s="11">
        <v>0.26</v>
      </c>
      <c r="J25" s="11">
        <v>0.26</v>
      </c>
      <c r="K25" s="11">
        <v>0.26</v>
      </c>
      <c r="L25" s="11">
        <v>0.26</v>
      </c>
      <c r="M25" s="11">
        <v>0.26</v>
      </c>
      <c r="N25" s="11">
        <v>0.26</v>
      </c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4" customHeight="1">
      <c r="A27" s="1"/>
      <c r="B27" s="9" t="s">
        <v>39</v>
      </c>
      <c r="C27" s="10">
        <f t="shared" ref="C27:N27" si="4">IF($C$3="Downside",IF(ISBLANK(C28),"",C28),IF($C$3="Base",IF(ISBLANK(C29),"",C29),IF(ISBLANK(C30),"",C30)))</f>
        <v>0.25</v>
      </c>
      <c r="D27" s="10">
        <f t="shared" si="4"/>
        <v>0.25</v>
      </c>
      <c r="E27" s="10">
        <f t="shared" si="4"/>
        <v>0.25</v>
      </c>
      <c r="F27" s="10">
        <f t="shared" si="4"/>
        <v>0.25</v>
      </c>
      <c r="G27" s="10">
        <f t="shared" si="4"/>
        <v>0.25</v>
      </c>
      <c r="H27" s="10">
        <f t="shared" si="4"/>
        <v>0.25</v>
      </c>
      <c r="I27" s="10">
        <f t="shared" si="4"/>
        <v>0.25</v>
      </c>
      <c r="J27" s="10">
        <f t="shared" si="4"/>
        <v>0.25</v>
      </c>
      <c r="K27" s="10">
        <f t="shared" si="4"/>
        <v>0.25</v>
      </c>
      <c r="L27" s="10">
        <f t="shared" si="4"/>
        <v>0.25</v>
      </c>
      <c r="M27" s="10">
        <f t="shared" si="4"/>
        <v>0.25</v>
      </c>
      <c r="N27" s="10">
        <f t="shared" si="4"/>
        <v>0.25</v>
      </c>
    </row>
    <row r="28" spans="1:14" ht="24" customHeight="1">
      <c r="A28" s="1"/>
      <c r="B28" s="1" t="s">
        <v>34</v>
      </c>
      <c r="C28" s="11">
        <v>0.15</v>
      </c>
      <c r="D28" s="11">
        <v>0.15</v>
      </c>
      <c r="E28" s="11">
        <v>0.15</v>
      </c>
      <c r="F28" s="11">
        <v>0.15</v>
      </c>
      <c r="G28" s="11">
        <v>0.15</v>
      </c>
      <c r="H28" s="11">
        <v>0.15</v>
      </c>
      <c r="I28" s="11">
        <v>0.15</v>
      </c>
      <c r="J28" s="11">
        <v>0.15</v>
      </c>
      <c r="K28" s="11">
        <v>0.15</v>
      </c>
      <c r="L28" s="11">
        <v>0.15</v>
      </c>
      <c r="M28" s="11">
        <v>0.15</v>
      </c>
      <c r="N28" s="11">
        <v>0.15</v>
      </c>
    </row>
    <row r="29" spans="1:14" ht="24" customHeight="1">
      <c r="A29" s="1"/>
      <c r="B29" s="1" t="s">
        <v>18</v>
      </c>
      <c r="C29" s="11">
        <v>0.25</v>
      </c>
      <c r="D29" s="11">
        <v>0.25</v>
      </c>
      <c r="E29" s="11">
        <v>0.25</v>
      </c>
      <c r="F29" s="11">
        <v>0.25</v>
      </c>
      <c r="G29" s="11">
        <v>0.25</v>
      </c>
      <c r="H29" s="11">
        <v>0.25</v>
      </c>
      <c r="I29" s="11">
        <v>0.25</v>
      </c>
      <c r="J29" s="11">
        <v>0.25</v>
      </c>
      <c r="K29" s="11">
        <v>0.25</v>
      </c>
      <c r="L29" s="11">
        <v>0.25</v>
      </c>
      <c r="M29" s="11">
        <v>0.25</v>
      </c>
      <c r="N29" s="11">
        <v>0.25</v>
      </c>
    </row>
    <row r="30" spans="1:14" ht="24" customHeight="1">
      <c r="A30" s="1"/>
      <c r="B30" s="1" t="s">
        <v>35</v>
      </c>
      <c r="C30" s="11">
        <v>0.35</v>
      </c>
      <c r="D30" s="11">
        <v>0.35</v>
      </c>
      <c r="E30" s="11">
        <v>0.35</v>
      </c>
      <c r="F30" s="11">
        <v>0.35</v>
      </c>
      <c r="G30" s="11">
        <v>0.35</v>
      </c>
      <c r="H30" s="11">
        <v>0.35</v>
      </c>
      <c r="I30" s="11">
        <v>0.35</v>
      </c>
      <c r="J30" s="11">
        <v>0.35</v>
      </c>
      <c r="K30" s="11">
        <v>0.35</v>
      </c>
      <c r="L30" s="11">
        <v>0.35</v>
      </c>
      <c r="M30" s="11">
        <v>0.35</v>
      </c>
      <c r="N30" s="11">
        <v>0.35</v>
      </c>
    </row>
    <row r="31" spans="1:14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4" customHeight="1">
      <c r="A32" s="1"/>
      <c r="B32" s="9" t="s">
        <v>40</v>
      </c>
      <c r="C32" s="10">
        <f t="shared" ref="C32:N32" si="5">IF($C$3="Downside",IF(ISBLANK(C33),"",C33),IF($C$3="Base",IF(ISBLANK(C34),"",C34),IF(ISBLANK(C35),"",C35)))</f>
        <v>0.25</v>
      </c>
      <c r="D32" s="10">
        <f t="shared" si="5"/>
        <v>0.25</v>
      </c>
      <c r="E32" s="10">
        <f t="shared" si="5"/>
        <v>0.25</v>
      </c>
      <c r="F32" s="10">
        <f t="shared" si="5"/>
        <v>0.25</v>
      </c>
      <c r="G32" s="10">
        <f t="shared" si="5"/>
        <v>0.25</v>
      </c>
      <c r="H32" s="10">
        <f t="shared" si="5"/>
        <v>0.25</v>
      </c>
      <c r="I32" s="10">
        <f t="shared" si="5"/>
        <v>0.25</v>
      </c>
      <c r="J32" s="10">
        <f t="shared" si="5"/>
        <v>0.25</v>
      </c>
      <c r="K32" s="10">
        <f t="shared" si="5"/>
        <v>0.25</v>
      </c>
      <c r="L32" s="10">
        <f t="shared" si="5"/>
        <v>0.25</v>
      </c>
      <c r="M32" s="10">
        <f t="shared" si="5"/>
        <v>0.25</v>
      </c>
      <c r="N32" s="10">
        <f t="shared" si="5"/>
        <v>0.25</v>
      </c>
    </row>
    <row r="33" spans="1:14" ht="24" customHeight="1">
      <c r="A33" s="1"/>
      <c r="B33" s="1" t="s">
        <v>34</v>
      </c>
      <c r="C33" s="11">
        <v>0.3</v>
      </c>
      <c r="D33" s="11">
        <v>0.3</v>
      </c>
      <c r="E33" s="11">
        <v>0.3</v>
      </c>
      <c r="F33" s="11">
        <v>0.3</v>
      </c>
      <c r="G33" s="11">
        <v>0.3</v>
      </c>
      <c r="H33" s="11">
        <v>0.3</v>
      </c>
      <c r="I33" s="11">
        <v>0.3</v>
      </c>
      <c r="J33" s="11">
        <v>0.3</v>
      </c>
      <c r="K33" s="11">
        <v>0.3</v>
      </c>
      <c r="L33" s="11">
        <v>0.3</v>
      </c>
      <c r="M33" s="11">
        <v>0.3</v>
      </c>
      <c r="N33" s="11">
        <v>0.3</v>
      </c>
    </row>
    <row r="34" spans="1:14" ht="24" customHeight="1">
      <c r="A34" s="1"/>
      <c r="B34" s="1" t="s">
        <v>18</v>
      </c>
      <c r="C34" s="11">
        <v>0.25</v>
      </c>
      <c r="D34" s="11">
        <v>0.25</v>
      </c>
      <c r="E34" s="11">
        <v>0.25</v>
      </c>
      <c r="F34" s="11">
        <v>0.25</v>
      </c>
      <c r="G34" s="11">
        <v>0.25</v>
      </c>
      <c r="H34" s="11">
        <v>0.25</v>
      </c>
      <c r="I34" s="11">
        <v>0.25</v>
      </c>
      <c r="J34" s="11">
        <v>0.25</v>
      </c>
      <c r="K34" s="11">
        <v>0.25</v>
      </c>
      <c r="L34" s="11">
        <v>0.25</v>
      </c>
      <c r="M34" s="11">
        <v>0.25</v>
      </c>
      <c r="N34" s="11">
        <v>0.25</v>
      </c>
    </row>
    <row r="35" spans="1:14" ht="24" customHeight="1">
      <c r="A35" s="1"/>
      <c r="B35" s="1" t="s">
        <v>35</v>
      </c>
      <c r="C35" s="11">
        <v>0.2</v>
      </c>
      <c r="D35" s="11">
        <v>0.2</v>
      </c>
      <c r="E35" s="11">
        <v>0.2</v>
      </c>
      <c r="F35" s="11">
        <v>0.2</v>
      </c>
      <c r="G35" s="11">
        <v>0.2</v>
      </c>
      <c r="H35" s="11">
        <v>0.2</v>
      </c>
      <c r="I35" s="11">
        <v>0.2</v>
      </c>
      <c r="J35" s="11">
        <v>0.2</v>
      </c>
      <c r="K35" s="11">
        <v>0.2</v>
      </c>
      <c r="L35" s="11">
        <v>0.2</v>
      </c>
      <c r="M35" s="11">
        <v>0.2</v>
      </c>
      <c r="N35" s="11">
        <v>0.2</v>
      </c>
    </row>
    <row r="36" spans="1:14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4" customHeight="1">
      <c r="A37" s="1"/>
      <c r="B37" s="9" t="s">
        <v>41</v>
      </c>
      <c r="C37" s="12">
        <f t="shared" ref="C37:N37" si="6">IF($C$3="Downside",IF(ISBLANK(C38),"",C38),IF($C$3="Base",IF(ISBLANK(C39),"",C39),IF(ISBLANK(C40),"",C40)))</f>
        <v>20000</v>
      </c>
      <c r="D37" s="12">
        <f t="shared" si="6"/>
        <v>20000</v>
      </c>
      <c r="E37" s="12">
        <f t="shared" si="6"/>
        <v>20000</v>
      </c>
      <c r="F37" s="12">
        <f t="shared" si="6"/>
        <v>20000</v>
      </c>
      <c r="G37" s="12">
        <f t="shared" si="6"/>
        <v>20000</v>
      </c>
      <c r="H37" s="12">
        <f t="shared" si="6"/>
        <v>20000</v>
      </c>
      <c r="I37" s="12">
        <f t="shared" si="6"/>
        <v>20000</v>
      </c>
      <c r="J37" s="12">
        <f t="shared" si="6"/>
        <v>20000</v>
      </c>
      <c r="K37" s="12">
        <f t="shared" si="6"/>
        <v>20000</v>
      </c>
      <c r="L37" s="12">
        <f t="shared" si="6"/>
        <v>20000</v>
      </c>
      <c r="M37" s="12">
        <f t="shared" si="6"/>
        <v>20000</v>
      </c>
      <c r="N37" s="12">
        <f t="shared" si="6"/>
        <v>20000</v>
      </c>
    </row>
    <row r="38" spans="1:14" ht="24" customHeight="1">
      <c r="A38" s="1"/>
      <c r="B38" s="1" t="s">
        <v>34</v>
      </c>
      <c r="C38" s="6">
        <v>18000</v>
      </c>
      <c r="D38" s="6">
        <v>18000</v>
      </c>
      <c r="E38" s="6">
        <v>18000</v>
      </c>
      <c r="F38" s="6">
        <v>18000</v>
      </c>
      <c r="G38" s="6">
        <v>18000</v>
      </c>
      <c r="H38" s="6">
        <v>18000</v>
      </c>
      <c r="I38" s="6">
        <v>18000</v>
      </c>
      <c r="J38" s="6">
        <v>18000</v>
      </c>
      <c r="K38" s="6">
        <v>18000</v>
      </c>
      <c r="L38" s="6">
        <v>18000</v>
      </c>
      <c r="M38" s="6">
        <v>18000</v>
      </c>
      <c r="N38" s="6">
        <v>18000</v>
      </c>
    </row>
    <row r="39" spans="1:14" ht="24" customHeight="1">
      <c r="A39" s="1"/>
      <c r="B39" s="1" t="s">
        <v>18</v>
      </c>
      <c r="C39" s="6">
        <v>20000</v>
      </c>
      <c r="D39" s="6">
        <v>20000</v>
      </c>
      <c r="E39" s="6">
        <v>20000</v>
      </c>
      <c r="F39" s="6">
        <v>20000</v>
      </c>
      <c r="G39" s="6">
        <v>20000</v>
      </c>
      <c r="H39" s="6">
        <v>20000</v>
      </c>
      <c r="I39" s="6">
        <v>20000</v>
      </c>
      <c r="J39" s="6">
        <v>20000</v>
      </c>
      <c r="K39" s="6">
        <v>20000</v>
      </c>
      <c r="L39" s="6">
        <v>20000</v>
      </c>
      <c r="M39" s="6">
        <v>20000</v>
      </c>
      <c r="N39" s="6">
        <v>20000</v>
      </c>
    </row>
    <row r="40" spans="1:14" ht="24" customHeight="1">
      <c r="A40" s="1"/>
      <c r="B40" s="1" t="s">
        <v>35</v>
      </c>
      <c r="C40" s="6">
        <v>22000</v>
      </c>
      <c r="D40" s="6">
        <v>22000</v>
      </c>
      <c r="E40" s="6">
        <v>22000</v>
      </c>
      <c r="F40" s="6">
        <v>22000</v>
      </c>
      <c r="G40" s="6">
        <v>22000</v>
      </c>
      <c r="H40" s="6">
        <v>22000</v>
      </c>
      <c r="I40" s="6">
        <v>22000</v>
      </c>
      <c r="J40" s="6">
        <v>22000</v>
      </c>
      <c r="K40" s="6">
        <v>22000</v>
      </c>
      <c r="L40" s="6">
        <v>22000</v>
      </c>
      <c r="M40" s="6">
        <v>22000</v>
      </c>
      <c r="N40" s="6">
        <v>22000</v>
      </c>
    </row>
    <row r="41" spans="1:14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4" customHeight="1">
      <c r="A42" s="1"/>
      <c r="B42" s="9" t="s">
        <v>42</v>
      </c>
      <c r="C42" s="10">
        <f t="shared" ref="C42:N42" si="7">IF($C$3="Downside",IF(ISBLANK(C43),"",C43),IF($C$3="Base",IF(ISBLANK(C44),"",C44),IF(ISBLANK(C45),"",C45)))</f>
        <v>0.02</v>
      </c>
      <c r="D42" s="10">
        <f t="shared" si="7"/>
        <v>0.02</v>
      </c>
      <c r="E42" s="10">
        <f t="shared" si="7"/>
        <v>0.02</v>
      </c>
      <c r="F42" s="10">
        <f t="shared" si="7"/>
        <v>0.02</v>
      </c>
      <c r="G42" s="10">
        <f t="shared" si="7"/>
        <v>0.02</v>
      </c>
      <c r="H42" s="10">
        <f t="shared" si="7"/>
        <v>0.02</v>
      </c>
      <c r="I42" s="10">
        <f t="shared" si="7"/>
        <v>0.02</v>
      </c>
      <c r="J42" s="10">
        <f t="shared" si="7"/>
        <v>0.02</v>
      </c>
      <c r="K42" s="10">
        <f t="shared" si="7"/>
        <v>0.02</v>
      </c>
      <c r="L42" s="10">
        <f t="shared" si="7"/>
        <v>0.02</v>
      </c>
      <c r="M42" s="10">
        <f t="shared" si="7"/>
        <v>0.02</v>
      </c>
      <c r="N42" s="10">
        <f t="shared" si="7"/>
        <v>0.02</v>
      </c>
    </row>
    <row r="43" spans="1:14" ht="24" customHeight="1">
      <c r="A43" s="1"/>
      <c r="B43" s="1" t="s">
        <v>34</v>
      </c>
      <c r="C43" s="11">
        <v>0.01</v>
      </c>
      <c r="D43" s="11">
        <v>0.01</v>
      </c>
      <c r="E43" s="11">
        <v>0.01</v>
      </c>
      <c r="F43" s="11">
        <v>0.01</v>
      </c>
      <c r="G43" s="11">
        <v>0.01</v>
      </c>
      <c r="H43" s="11">
        <v>0.01</v>
      </c>
      <c r="I43" s="11">
        <v>0.01</v>
      </c>
      <c r="J43" s="11">
        <v>0.01</v>
      </c>
      <c r="K43" s="11">
        <v>0.01</v>
      </c>
      <c r="L43" s="11">
        <v>0.01</v>
      </c>
      <c r="M43" s="11">
        <v>0.01</v>
      </c>
      <c r="N43" s="11">
        <v>0.01</v>
      </c>
    </row>
    <row r="44" spans="1:14" ht="24" customHeight="1">
      <c r="A44" s="1"/>
      <c r="B44" s="1" t="s">
        <v>18</v>
      </c>
      <c r="C44" s="11">
        <v>0.02</v>
      </c>
      <c r="D44" s="11">
        <v>0.02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  <c r="L44" s="11">
        <v>0.02</v>
      </c>
      <c r="M44" s="11">
        <v>0.02</v>
      </c>
      <c r="N44" s="11">
        <v>0.02</v>
      </c>
    </row>
    <row r="45" spans="1:14" ht="24" customHeight="1">
      <c r="A45" s="1"/>
      <c r="B45" s="1" t="s">
        <v>35</v>
      </c>
      <c r="C45" s="11">
        <v>0.03</v>
      </c>
      <c r="D45" s="11">
        <v>0.03</v>
      </c>
      <c r="E45" s="11">
        <v>0.03</v>
      </c>
      <c r="F45" s="11">
        <v>0.03</v>
      </c>
      <c r="G45" s="11">
        <v>0.03</v>
      </c>
      <c r="H45" s="11">
        <v>0.03</v>
      </c>
      <c r="I45" s="11">
        <v>0.03</v>
      </c>
      <c r="J45" s="11">
        <v>0.03</v>
      </c>
      <c r="K45" s="11">
        <v>0.03</v>
      </c>
      <c r="L45" s="11">
        <v>0.03</v>
      </c>
      <c r="M45" s="11">
        <v>0.03</v>
      </c>
      <c r="N45" s="11">
        <v>0.03</v>
      </c>
    </row>
    <row r="46" spans="1:14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4" customHeight="1">
      <c r="A48" s="1"/>
      <c r="B48" s="1" t="s">
        <v>43</v>
      </c>
      <c r="C48" s="3">
        <v>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4" customHeight="1">
      <c r="A49" s="1"/>
      <c r="B49" s="1" t="s">
        <v>44</v>
      </c>
      <c r="C49" s="11">
        <v>0.5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4" customHeight="1">
      <c r="A50" s="1"/>
      <c r="B50" s="1" t="s">
        <v>45</v>
      </c>
      <c r="C50" s="11">
        <v>0.5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40.049999999999997" customHeight="1">
      <c r="A52" s="1"/>
      <c r="B52" s="25" t="s">
        <v>46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40.049999999999997" customHeight="1">
      <c r="A54" s="1"/>
      <c r="B54" s="25" t="s">
        <v>47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1:14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0.049999999999997" customHeight="1">
      <c r="A56" s="1"/>
      <c r="B56" s="25" t="s">
        <v>48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</sheetData>
  <mergeCells count="5">
    <mergeCell ref="B2:N2"/>
    <mergeCell ref="D3:N3"/>
    <mergeCell ref="B52:N52"/>
    <mergeCell ref="B54:N54"/>
    <mergeCell ref="B56:N56"/>
  </mergeCells>
  <dataValidations count="1">
    <dataValidation type="list" sqref="C3" xr:uid="{00000000-0002-0000-0100-000000000000}">
      <formula1>"Downside,Base,Upside"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3" customWidth="1"/>
    <col min="2" max="2" width="47" customWidth="1"/>
    <col min="3" max="14" width="15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1"/>
      <c r="B2" s="24" t="s">
        <v>49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4" customHeight="1">
      <c r="A3" s="1"/>
      <c r="B3" s="1" t="s">
        <v>1</v>
      </c>
      <c r="C3" s="13" t="str">
        <f>Assumptions!C3</f>
        <v>Base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/>
      <c r="B5" s="2" t="s">
        <v>50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</row>
    <row r="6" spans="1:14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4" customHeight="1">
      <c r="A7" s="1"/>
      <c r="B7" s="1" t="s">
        <v>51</v>
      </c>
      <c r="C7" s="14">
        <f>'Source data'!$D$17/4*(1+Assumptions!C42)^0</f>
        <v>5090</v>
      </c>
      <c r="D7" s="14">
        <f>'Source data'!$D$17/4*(1+Assumptions!D42)^0</f>
        <v>5090</v>
      </c>
      <c r="E7" s="14">
        <f>'Source data'!$D$17/4*(1+Assumptions!E42)^0</f>
        <v>5090</v>
      </c>
      <c r="F7" s="14">
        <f>'Source data'!$D$17/4*(1+Assumptions!F42)^0</f>
        <v>5090</v>
      </c>
      <c r="G7" s="14">
        <f>'Source data'!$D$17/4*(1+Assumptions!G42)^1</f>
        <v>5191.8</v>
      </c>
      <c r="H7" s="14">
        <f>'Source data'!$D$17/4*(1+Assumptions!H42)^1</f>
        <v>5191.8</v>
      </c>
      <c r="I7" s="14">
        <f>'Source data'!$D$17/4*(1+Assumptions!I42)^1</f>
        <v>5191.8</v>
      </c>
      <c r="J7" s="14">
        <f>'Source data'!$D$17/4*(1+Assumptions!J42)^1</f>
        <v>5191.8</v>
      </c>
      <c r="K7" s="14">
        <f>'Source data'!$D$17/4*(1+Assumptions!K42)^2</f>
        <v>5295.6359999999995</v>
      </c>
      <c r="L7" s="14">
        <f>'Source data'!$D$17/4*(1+Assumptions!L42)^2</f>
        <v>5295.6359999999995</v>
      </c>
      <c r="M7" s="14">
        <f>'Source data'!$D$17/4*(1+Assumptions!M42)^2</f>
        <v>5295.6359999999995</v>
      </c>
      <c r="N7" s="14">
        <f>'Source data'!$D$17/4*(1+Assumptions!N42)^2</f>
        <v>5295.6359999999995</v>
      </c>
    </row>
    <row r="8" spans="1:14" ht="24" customHeight="1">
      <c r="A8" s="1"/>
      <c r="B8" s="1" t="s">
        <v>52</v>
      </c>
      <c r="C8" s="14">
        <f>'Source data'!$D$16</f>
        <v>105400</v>
      </c>
      <c r="D8" s="15">
        <f>0</f>
        <v>0</v>
      </c>
      <c r="E8" s="15">
        <f>0</f>
        <v>0</v>
      </c>
      <c r="F8" s="15">
        <f>0</f>
        <v>0</v>
      </c>
      <c r="G8" s="15">
        <f>0</f>
        <v>0</v>
      </c>
      <c r="H8" s="15">
        <f>0</f>
        <v>0</v>
      </c>
      <c r="I8" s="15">
        <f>0</f>
        <v>0</v>
      </c>
      <c r="J8" s="15">
        <f>0</f>
        <v>0</v>
      </c>
      <c r="K8" s="15">
        <f>0</f>
        <v>0</v>
      </c>
      <c r="L8" s="15">
        <f>0</f>
        <v>0</v>
      </c>
      <c r="M8" s="15">
        <f>0</f>
        <v>0</v>
      </c>
      <c r="N8" s="15">
        <f>0</f>
        <v>0</v>
      </c>
    </row>
    <row r="9" spans="1:14" ht="24" customHeight="1">
      <c r="A9" s="1"/>
      <c r="B9" s="1" t="s">
        <v>53</v>
      </c>
      <c r="C9" s="15">
        <f t="shared" ref="C9:N9" si="0">C7+C8</f>
        <v>110490</v>
      </c>
      <c r="D9" s="15">
        <f t="shared" si="0"/>
        <v>5090</v>
      </c>
      <c r="E9" s="15">
        <f t="shared" si="0"/>
        <v>5090</v>
      </c>
      <c r="F9" s="15">
        <f t="shared" si="0"/>
        <v>5090</v>
      </c>
      <c r="G9" s="15">
        <f t="shared" si="0"/>
        <v>5191.8</v>
      </c>
      <c r="H9" s="15">
        <f t="shared" si="0"/>
        <v>5191.8</v>
      </c>
      <c r="I9" s="15">
        <f t="shared" si="0"/>
        <v>5191.8</v>
      </c>
      <c r="J9" s="15">
        <f t="shared" si="0"/>
        <v>5191.8</v>
      </c>
      <c r="K9" s="15">
        <f t="shared" si="0"/>
        <v>5295.6359999999995</v>
      </c>
      <c r="L9" s="15">
        <f t="shared" si="0"/>
        <v>5295.6359999999995</v>
      </c>
      <c r="M9" s="15">
        <f t="shared" si="0"/>
        <v>5295.6359999999995</v>
      </c>
      <c r="N9" s="15">
        <f t="shared" si="0"/>
        <v>5295.6359999999995</v>
      </c>
    </row>
    <row r="10" spans="1:14" ht="24" customHeight="1">
      <c r="A10" s="1"/>
      <c r="B10" s="1" t="s">
        <v>54</v>
      </c>
      <c r="C10" s="14">
        <f>C9*Assumptions!C7</f>
        <v>77343</v>
      </c>
      <c r="D10" s="14">
        <f>D9*Assumptions!D7</f>
        <v>3563</v>
      </c>
      <c r="E10" s="14">
        <f>E9*Assumptions!E7</f>
        <v>3563</v>
      </c>
      <c r="F10" s="14">
        <f>F9*Assumptions!F7</f>
        <v>3563</v>
      </c>
      <c r="G10" s="14">
        <f>G9*Assumptions!G7</f>
        <v>3634.2599999999998</v>
      </c>
      <c r="H10" s="14">
        <f>H9*Assumptions!H7</f>
        <v>3634.2599999999998</v>
      </c>
      <c r="I10" s="14">
        <f>I9*Assumptions!I7</f>
        <v>3634.2599999999998</v>
      </c>
      <c r="J10" s="14">
        <f>J9*Assumptions!J7</f>
        <v>3634.2599999999998</v>
      </c>
      <c r="K10" s="14">
        <f>K9*Assumptions!K7</f>
        <v>3706.9451999999992</v>
      </c>
      <c r="L10" s="14">
        <f>L9*Assumptions!L7</f>
        <v>3706.9451999999992</v>
      </c>
      <c r="M10" s="14">
        <f>M9*Assumptions!M7</f>
        <v>3706.9451999999992</v>
      </c>
      <c r="N10" s="14">
        <f>N9*Assumptions!N7</f>
        <v>3706.9451999999992</v>
      </c>
    </row>
    <row r="11" spans="1:14" ht="24" customHeight="1">
      <c r="A11" s="1"/>
      <c r="B11" s="1" t="s">
        <v>55</v>
      </c>
      <c r="C11" s="14">
        <f>C10*Assumptions!C12</f>
        <v>58007.25</v>
      </c>
      <c r="D11" s="14">
        <f>D10*Assumptions!D12</f>
        <v>2672.25</v>
      </c>
      <c r="E11" s="14">
        <f>E10*Assumptions!E12</f>
        <v>2672.25</v>
      </c>
      <c r="F11" s="14">
        <f>F10*Assumptions!F12</f>
        <v>2672.25</v>
      </c>
      <c r="G11" s="14">
        <f>G10*Assumptions!G12</f>
        <v>2725.6949999999997</v>
      </c>
      <c r="H11" s="14">
        <f>H10*Assumptions!H12</f>
        <v>2725.6949999999997</v>
      </c>
      <c r="I11" s="14">
        <f>I10*Assumptions!I12</f>
        <v>2725.6949999999997</v>
      </c>
      <c r="J11" s="14">
        <f>J10*Assumptions!J12</f>
        <v>2725.6949999999997</v>
      </c>
      <c r="K11" s="14">
        <f>K10*Assumptions!K12</f>
        <v>2780.2088999999996</v>
      </c>
      <c r="L11" s="14">
        <f>L10*Assumptions!L12</f>
        <v>2780.2088999999996</v>
      </c>
      <c r="M11" s="14">
        <f>M10*Assumptions!M12</f>
        <v>2780.2088999999996</v>
      </c>
      <c r="N11" s="14">
        <f>N10*Assumptions!N12</f>
        <v>2780.2088999999996</v>
      </c>
    </row>
    <row r="12" spans="1:14" ht="24" customHeight="1">
      <c r="A12" s="1"/>
      <c r="B12" s="9" t="s">
        <v>56</v>
      </c>
      <c r="C12" s="22">
        <f>C11*Assumptions!C17</f>
        <v>17402.174999999999</v>
      </c>
      <c r="D12" s="22">
        <f>D11*Assumptions!D17</f>
        <v>801.67499999999995</v>
      </c>
      <c r="E12" s="22">
        <f>E11*Assumptions!E17</f>
        <v>801.67499999999995</v>
      </c>
      <c r="F12" s="22">
        <f>F11*Assumptions!F17</f>
        <v>801.67499999999995</v>
      </c>
      <c r="G12" s="22">
        <f>G11*Assumptions!G17</f>
        <v>817.70849999999984</v>
      </c>
      <c r="H12" s="22">
        <f>H11*Assumptions!H17</f>
        <v>817.70849999999984</v>
      </c>
      <c r="I12" s="22">
        <f>I11*Assumptions!I17</f>
        <v>817.70849999999984</v>
      </c>
      <c r="J12" s="22">
        <f>J11*Assumptions!J17</f>
        <v>817.70849999999984</v>
      </c>
      <c r="K12" s="22">
        <f>K11*Assumptions!K17</f>
        <v>834.06266999999991</v>
      </c>
      <c r="L12" s="22">
        <f>L11*Assumptions!L17</f>
        <v>834.06266999999991</v>
      </c>
      <c r="M12" s="22">
        <f>M11*Assumptions!M17</f>
        <v>834.06266999999991</v>
      </c>
      <c r="N12" s="22">
        <f>N11*Assumptions!N17</f>
        <v>834.06266999999991</v>
      </c>
    </row>
    <row r="13" spans="1:14" ht="24" customHeight="1">
      <c r="A13" s="1"/>
      <c r="B13" s="1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24" customHeight="1">
      <c r="A14" s="1"/>
      <c r="B14" s="1" t="s">
        <v>57</v>
      </c>
      <c r="C14" s="15">
        <f>0</f>
        <v>0</v>
      </c>
      <c r="D14" s="15">
        <f t="shared" ref="D14:N14" si="1">C17</f>
        <v>14269.7835</v>
      </c>
      <c r="E14" s="15">
        <f t="shared" si="1"/>
        <v>12358.595969999998</v>
      </c>
      <c r="F14" s="15">
        <f t="shared" si="1"/>
        <v>10791.422195399999</v>
      </c>
      <c r="G14" s="15">
        <f t="shared" si="1"/>
        <v>9506.339700227998</v>
      </c>
      <c r="H14" s="15">
        <f t="shared" si="1"/>
        <v>8465.7195241869595</v>
      </c>
      <c r="I14" s="15">
        <f t="shared" si="1"/>
        <v>7612.4109798333075</v>
      </c>
      <c r="J14" s="15">
        <f t="shared" si="1"/>
        <v>6912.6979734633114</v>
      </c>
      <c r="K14" s="15">
        <f t="shared" si="1"/>
        <v>6338.9333082399153</v>
      </c>
      <c r="L14" s="15">
        <f t="shared" si="1"/>
        <v>5881.8567021567305</v>
      </c>
      <c r="M14" s="15">
        <f t="shared" si="1"/>
        <v>5507.0538851685196</v>
      </c>
      <c r="N14" s="15">
        <f t="shared" si="1"/>
        <v>5199.7155752381859</v>
      </c>
    </row>
    <row r="15" spans="1:14" ht="24" customHeight="1">
      <c r="A15" s="1"/>
      <c r="B15" s="1" t="s">
        <v>58</v>
      </c>
      <c r="C15" s="15">
        <f t="shared" ref="C15:N15" si="2">C14+C12</f>
        <v>17402.174999999999</v>
      </c>
      <c r="D15" s="15">
        <f t="shared" si="2"/>
        <v>15071.458499999999</v>
      </c>
      <c r="E15" s="15">
        <f t="shared" si="2"/>
        <v>13160.270969999998</v>
      </c>
      <c r="F15" s="15">
        <f t="shared" si="2"/>
        <v>11593.097195399998</v>
      </c>
      <c r="G15" s="15">
        <f t="shared" si="2"/>
        <v>10324.048200227999</v>
      </c>
      <c r="H15" s="15">
        <f t="shared" si="2"/>
        <v>9283.4280241869601</v>
      </c>
      <c r="I15" s="15">
        <f t="shared" si="2"/>
        <v>8430.1194798333072</v>
      </c>
      <c r="J15" s="15">
        <f t="shared" si="2"/>
        <v>7730.4064734633112</v>
      </c>
      <c r="K15" s="15">
        <f t="shared" si="2"/>
        <v>7172.9959782399155</v>
      </c>
      <c r="L15" s="15">
        <f t="shared" si="2"/>
        <v>6715.9193721567308</v>
      </c>
      <c r="M15" s="15">
        <f t="shared" si="2"/>
        <v>6341.1165551685199</v>
      </c>
      <c r="N15" s="15">
        <f t="shared" si="2"/>
        <v>6033.7782452381862</v>
      </c>
    </row>
    <row r="16" spans="1:14" ht="24" customHeight="1">
      <c r="A16" s="1"/>
      <c r="B16" s="1" t="s">
        <v>59</v>
      </c>
      <c r="C16" s="14">
        <f>C15*Assumptions!C22</f>
        <v>3132.3914999999997</v>
      </c>
      <c r="D16" s="14">
        <f>D15*Assumptions!D22</f>
        <v>2712.8625299999999</v>
      </c>
      <c r="E16" s="14">
        <f>E15*Assumptions!E22</f>
        <v>2368.8487745999996</v>
      </c>
      <c r="F16" s="14">
        <f>F15*Assumptions!F22</f>
        <v>2086.7574951719994</v>
      </c>
      <c r="G16" s="14">
        <f>G15*Assumptions!G22</f>
        <v>1858.3286760410397</v>
      </c>
      <c r="H16" s="14">
        <f>H15*Assumptions!H22</f>
        <v>1671.0170443536529</v>
      </c>
      <c r="I16" s="14">
        <f>I15*Assumptions!I22</f>
        <v>1517.4215063699953</v>
      </c>
      <c r="J16" s="14">
        <f>J15*Assumptions!J22</f>
        <v>1391.4731652233959</v>
      </c>
      <c r="K16" s="14">
        <f>K15*Assumptions!K22</f>
        <v>1291.1392760831848</v>
      </c>
      <c r="L16" s="14">
        <f>L15*Assumptions!L22</f>
        <v>1208.8654869882114</v>
      </c>
      <c r="M16" s="14">
        <f>M15*Assumptions!M22</f>
        <v>1141.4009799303335</v>
      </c>
      <c r="N16" s="14">
        <f>N15*Assumptions!N22</f>
        <v>1086.0800841428734</v>
      </c>
    </row>
    <row r="17" spans="1:14" ht="24" customHeight="1">
      <c r="A17" s="1"/>
      <c r="B17" s="9" t="s">
        <v>60</v>
      </c>
      <c r="C17" s="23">
        <f t="shared" ref="C17:N17" si="3">C15-C16</f>
        <v>14269.7835</v>
      </c>
      <c r="D17" s="23">
        <f t="shared" si="3"/>
        <v>12358.595969999998</v>
      </c>
      <c r="E17" s="23">
        <f t="shared" si="3"/>
        <v>10791.422195399999</v>
      </c>
      <c r="F17" s="23">
        <f t="shared" si="3"/>
        <v>9506.339700227998</v>
      </c>
      <c r="G17" s="23">
        <f t="shared" si="3"/>
        <v>8465.7195241869595</v>
      </c>
      <c r="H17" s="23">
        <f t="shared" si="3"/>
        <v>7612.4109798333075</v>
      </c>
      <c r="I17" s="23">
        <f t="shared" si="3"/>
        <v>6912.6979734633114</v>
      </c>
      <c r="J17" s="23">
        <f t="shared" si="3"/>
        <v>6338.9333082399153</v>
      </c>
      <c r="K17" s="23">
        <f t="shared" si="3"/>
        <v>5881.8567021567305</v>
      </c>
      <c r="L17" s="23">
        <f t="shared" si="3"/>
        <v>5507.0538851685196</v>
      </c>
      <c r="M17" s="23">
        <f t="shared" si="3"/>
        <v>5199.7155752381859</v>
      </c>
      <c r="N17" s="23">
        <f t="shared" si="3"/>
        <v>4947.6981610953126</v>
      </c>
    </row>
    <row r="18" spans="1:14" ht="24" customHeight="1">
      <c r="A18" s="1"/>
      <c r="B18" s="1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24" customHeight="1">
      <c r="A19" s="1"/>
      <c r="B19" s="1" t="s">
        <v>9</v>
      </c>
      <c r="C19" s="14">
        <f>C16*Assumptions!C27</f>
        <v>783.09787499999993</v>
      </c>
      <c r="D19" s="14">
        <f>D16*Assumptions!D27</f>
        <v>678.21563249999997</v>
      </c>
      <c r="E19" s="14">
        <f>E16*Assumptions!E27</f>
        <v>592.2121936499999</v>
      </c>
      <c r="F19" s="14">
        <f>F16*Assumptions!F27</f>
        <v>521.68937379299985</v>
      </c>
      <c r="G19" s="14">
        <f>G16*Assumptions!G27</f>
        <v>464.58216901025992</v>
      </c>
      <c r="H19" s="14">
        <f>H16*Assumptions!H27</f>
        <v>417.75426108841322</v>
      </c>
      <c r="I19" s="14">
        <f>I16*Assumptions!I27</f>
        <v>379.35537659249883</v>
      </c>
      <c r="J19" s="14">
        <f>J16*Assumptions!J27</f>
        <v>347.86829130584897</v>
      </c>
      <c r="K19" s="14">
        <f>K16*Assumptions!K27</f>
        <v>322.78481902079619</v>
      </c>
      <c r="L19" s="14">
        <f>L16*Assumptions!L27</f>
        <v>302.21637174705285</v>
      </c>
      <c r="M19" s="14">
        <f>M16*Assumptions!M27</f>
        <v>285.35024498258338</v>
      </c>
      <c r="N19" s="14">
        <f>N16*Assumptions!N27</f>
        <v>271.52002103571834</v>
      </c>
    </row>
    <row r="20" spans="1:14" ht="24" customHeight="1">
      <c r="A20" s="1"/>
      <c r="B20" s="1" t="s">
        <v>61</v>
      </c>
      <c r="C20" s="15">
        <f t="shared" ref="C20:N20" si="4">C16-C19</f>
        <v>2349.2936249999998</v>
      </c>
      <c r="D20" s="15">
        <f t="shared" si="4"/>
        <v>2034.6468974999998</v>
      </c>
      <c r="E20" s="15">
        <f t="shared" si="4"/>
        <v>1776.6365809499998</v>
      </c>
      <c r="F20" s="15">
        <f t="shared" si="4"/>
        <v>1565.0681213789994</v>
      </c>
      <c r="G20" s="15">
        <f t="shared" si="4"/>
        <v>1393.7465070307799</v>
      </c>
      <c r="H20" s="15">
        <f t="shared" si="4"/>
        <v>1253.2627832652397</v>
      </c>
      <c r="I20" s="15">
        <f t="shared" si="4"/>
        <v>1138.0661297774964</v>
      </c>
      <c r="J20" s="15">
        <f t="shared" si="4"/>
        <v>1043.6048739175469</v>
      </c>
      <c r="K20" s="15">
        <f t="shared" si="4"/>
        <v>968.35445706238852</v>
      </c>
      <c r="L20" s="15">
        <f t="shared" si="4"/>
        <v>906.6491152411586</v>
      </c>
      <c r="M20" s="15">
        <f t="shared" si="4"/>
        <v>856.05073494775013</v>
      </c>
      <c r="N20" s="15">
        <f t="shared" si="4"/>
        <v>814.56006310715497</v>
      </c>
    </row>
    <row r="21" spans="1:14" ht="24" customHeight="1">
      <c r="A21" s="1"/>
      <c r="B21" s="1" t="s">
        <v>62</v>
      </c>
      <c r="C21" s="15">
        <f>0</f>
        <v>0</v>
      </c>
      <c r="D21" s="15">
        <f t="shared" ref="D21:N21" si="5">C23</f>
        <v>783.09787499999993</v>
      </c>
      <c r="E21" s="15">
        <f t="shared" si="5"/>
        <v>1265.5390387500001</v>
      </c>
      <c r="F21" s="15">
        <f t="shared" si="5"/>
        <v>1541.3664727124999</v>
      </c>
      <c r="G21" s="15">
        <f t="shared" si="5"/>
        <v>1677.7142283273747</v>
      </c>
      <c r="H21" s="15">
        <f t="shared" si="5"/>
        <v>1722.8678402557907</v>
      </c>
      <c r="I21" s="15">
        <f t="shared" si="5"/>
        <v>1709.9051412802564</v>
      </c>
      <c r="J21" s="15">
        <f t="shared" si="5"/>
        <v>1661.7842325526913</v>
      </c>
      <c r="K21" s="15">
        <f t="shared" si="5"/>
        <v>1594.2064657203673</v>
      </c>
      <c r="L21" s="15">
        <f t="shared" si="5"/>
        <v>1518.4396683110717</v>
      </c>
      <c r="M21" s="15">
        <f t="shared" si="5"/>
        <v>1441.0461229803566</v>
      </c>
      <c r="N21" s="15">
        <f t="shared" si="5"/>
        <v>1366.1348372178509</v>
      </c>
    </row>
    <row r="22" spans="1:14" ht="24" customHeight="1">
      <c r="A22" s="1"/>
      <c r="B22" s="1" t="s">
        <v>63</v>
      </c>
      <c r="C22" s="14">
        <f>C21*Assumptions!C32</f>
        <v>0</v>
      </c>
      <c r="D22" s="14">
        <f>D21*Assumptions!D32</f>
        <v>195.77446874999998</v>
      </c>
      <c r="E22" s="14">
        <f>E21*Assumptions!E32</f>
        <v>316.38475968750004</v>
      </c>
      <c r="F22" s="14">
        <f>F21*Assumptions!F32</f>
        <v>385.34161817812497</v>
      </c>
      <c r="G22" s="14">
        <f>G21*Assumptions!G32</f>
        <v>419.42855708184368</v>
      </c>
      <c r="H22" s="14">
        <f>H21*Assumptions!H32</f>
        <v>430.71696006394768</v>
      </c>
      <c r="I22" s="14">
        <f>I21*Assumptions!I32</f>
        <v>427.47628532006411</v>
      </c>
      <c r="J22" s="14">
        <f>J21*Assumptions!J32</f>
        <v>415.44605813817282</v>
      </c>
      <c r="K22" s="14">
        <f>K21*Assumptions!K32</f>
        <v>398.55161643009183</v>
      </c>
      <c r="L22" s="14">
        <f>L21*Assumptions!L32</f>
        <v>379.60991707776793</v>
      </c>
      <c r="M22" s="14">
        <f>M21*Assumptions!M32</f>
        <v>360.26153074508915</v>
      </c>
      <c r="N22" s="14">
        <f>N21*Assumptions!N32</f>
        <v>341.53370930446272</v>
      </c>
    </row>
    <row r="23" spans="1:14" ht="24" customHeight="1">
      <c r="A23" s="1"/>
      <c r="B23" s="9" t="s">
        <v>64</v>
      </c>
      <c r="C23" s="23">
        <f t="shared" ref="C23:N23" si="6">C21+C19-C22</f>
        <v>783.09787499999993</v>
      </c>
      <c r="D23" s="23">
        <f t="shared" si="6"/>
        <v>1265.5390387500001</v>
      </c>
      <c r="E23" s="23">
        <f t="shared" si="6"/>
        <v>1541.3664727124999</v>
      </c>
      <c r="F23" s="23">
        <f t="shared" si="6"/>
        <v>1677.7142283273747</v>
      </c>
      <c r="G23" s="23">
        <f t="shared" si="6"/>
        <v>1722.8678402557907</v>
      </c>
      <c r="H23" s="23">
        <f t="shared" si="6"/>
        <v>1709.9051412802564</v>
      </c>
      <c r="I23" s="23">
        <f t="shared" si="6"/>
        <v>1661.7842325526913</v>
      </c>
      <c r="J23" s="23">
        <f t="shared" si="6"/>
        <v>1594.2064657203673</v>
      </c>
      <c r="K23" s="23">
        <f t="shared" si="6"/>
        <v>1518.4396683110717</v>
      </c>
      <c r="L23" s="23">
        <f t="shared" si="6"/>
        <v>1441.0461229803566</v>
      </c>
      <c r="M23" s="23">
        <f t="shared" si="6"/>
        <v>1366.1348372178509</v>
      </c>
      <c r="N23" s="23">
        <f t="shared" si="6"/>
        <v>1296.1211489491066</v>
      </c>
    </row>
    <row r="24" spans="1:14" ht="24" customHeight="1">
      <c r="A24" s="1"/>
      <c r="B24" s="1" t="s">
        <v>65</v>
      </c>
      <c r="C24" s="14">
        <f>(C21-C22)*Assumptions!$C$48+C22*Assumptions!$C$48*Assumptions!$C$50+C19*Assumptions!$C$48*Assumptions!$C$49</f>
        <v>1174.6468124999999</v>
      </c>
      <c r="D24" s="14">
        <f>(D21-D22)*Assumptions!$C$48+D22*Assumptions!$C$48*Assumptions!$C$50+D19*Assumptions!$C$48*Assumptions!$C$49</f>
        <v>3072.9553706249994</v>
      </c>
      <c r="E24" s="14">
        <f>(E21-E22)*Assumptions!$C$48+E22*Assumptions!$C$48*Assumptions!$C$50+E19*Assumptions!$C$48*Assumptions!$C$49</f>
        <v>4210.3582671937502</v>
      </c>
      <c r="F24" s="14">
        <f>(F21-F22)*Assumptions!$C$48+F22*Assumptions!$C$48*Assumptions!$C$50+F19*Assumptions!$C$48*Assumptions!$C$49</f>
        <v>4828.6210515598123</v>
      </c>
      <c r="G24" s="14">
        <f>(G21-G22)*Assumptions!$C$48+G22*Assumptions!$C$48*Assumptions!$C$50+G19*Assumptions!$C$48*Assumptions!$C$49</f>
        <v>5100.8731028747479</v>
      </c>
      <c r="H24" s="14">
        <f>(H21-H22)*Assumptions!$C$48+H22*Assumptions!$C$48*Assumptions!$C$50+H19*Assumptions!$C$48*Assumptions!$C$49</f>
        <v>5149.1594723040707</v>
      </c>
      <c r="I24" s="14">
        <f>(I21-I22)*Assumptions!$C$48+I22*Assumptions!$C$48*Assumptions!$C$50+I19*Assumptions!$C$48*Assumptions!$C$49</f>
        <v>5057.5340607494218</v>
      </c>
      <c r="J24" s="14">
        <f>(J21-J22)*Assumptions!$C$48+J22*Assumptions!$C$48*Assumptions!$C$50+J19*Assumptions!$C$48*Assumptions!$C$49</f>
        <v>4883.9860474095885</v>
      </c>
      <c r="K24" s="14">
        <f>(K21-K22)*Assumptions!$C$48+K22*Assumptions!$C$48*Assumptions!$C$50+K19*Assumptions!$C$48*Assumptions!$C$49</f>
        <v>4668.9692010471581</v>
      </c>
      <c r="L24" s="14">
        <f>(L21-L22)*Assumptions!$C$48+L22*Assumptions!$C$48*Assumptions!$C$50+L19*Assumptions!$C$48*Assumptions!$C$49</f>
        <v>4439.2286869371428</v>
      </c>
      <c r="M24" s="14">
        <f>(M21-M22)*Assumptions!$C$48+M22*Assumptions!$C$48*Assumptions!$C$50+M19*Assumptions!$C$48*Assumptions!$C$49</f>
        <v>4210.7714402973106</v>
      </c>
      <c r="N24" s="14">
        <f>(N21-N22)*Assumptions!$C$48+N22*Assumptions!$C$48*Assumptions!$C$50+N19*Assumptions!$C$48*Assumptions!$C$49</f>
        <v>3993.3839792504359</v>
      </c>
    </row>
    <row r="25" spans="1:14" ht="24" customHeight="1">
      <c r="A25" s="1"/>
      <c r="B25" s="1" t="s">
        <v>10</v>
      </c>
      <c r="C25" s="14">
        <f>C24/Assumptions!$C$48</f>
        <v>391.54893749999997</v>
      </c>
      <c r="D25" s="14">
        <f>D24/Assumptions!$C$48</f>
        <v>1024.3184568749998</v>
      </c>
      <c r="E25" s="14">
        <f>E24/Assumptions!$C$48</f>
        <v>1403.4527557312501</v>
      </c>
      <c r="F25" s="14">
        <f>F24/Assumptions!$C$48</f>
        <v>1609.5403505199374</v>
      </c>
      <c r="G25" s="14">
        <f>G24/Assumptions!$C$48</f>
        <v>1700.2910342915827</v>
      </c>
      <c r="H25" s="14">
        <f>H24/Assumptions!$C$48</f>
        <v>1716.3864907680236</v>
      </c>
      <c r="I25" s="14">
        <f>I24/Assumptions!$C$48</f>
        <v>1685.8446869164738</v>
      </c>
      <c r="J25" s="14">
        <f>J24/Assumptions!$C$48</f>
        <v>1627.9953491365295</v>
      </c>
      <c r="K25" s="14">
        <f>K24/Assumptions!$C$48</f>
        <v>1556.3230670157193</v>
      </c>
      <c r="L25" s="14">
        <f>L24/Assumptions!$C$48</f>
        <v>1479.7428956457143</v>
      </c>
      <c r="M25" s="14">
        <f>M24/Assumptions!$C$48</f>
        <v>1403.5904800991036</v>
      </c>
      <c r="N25" s="14">
        <f>N24/Assumptions!$C$48</f>
        <v>1331.1279930834787</v>
      </c>
    </row>
    <row r="26" spans="1:14" ht="24" customHeight="1">
      <c r="A26" s="1"/>
      <c r="B26" s="1" t="s">
        <v>12</v>
      </c>
      <c r="C26" s="17">
        <f t="shared" ref="C26:N26" si="7">IF(C16=0,0,C19/C16)</f>
        <v>0.25</v>
      </c>
      <c r="D26" s="17">
        <f t="shared" si="7"/>
        <v>0.25</v>
      </c>
      <c r="E26" s="17">
        <f t="shared" si="7"/>
        <v>0.25</v>
      </c>
      <c r="F26" s="17">
        <f t="shared" si="7"/>
        <v>0.25</v>
      </c>
      <c r="G26" s="17">
        <f t="shared" si="7"/>
        <v>0.25</v>
      </c>
      <c r="H26" s="17">
        <f t="shared" si="7"/>
        <v>0.25</v>
      </c>
      <c r="I26" s="17">
        <f t="shared" si="7"/>
        <v>0.25</v>
      </c>
      <c r="J26" s="17">
        <f t="shared" si="7"/>
        <v>0.25</v>
      </c>
      <c r="K26" s="17">
        <f t="shared" si="7"/>
        <v>0.25</v>
      </c>
      <c r="L26" s="17">
        <f t="shared" si="7"/>
        <v>0.25</v>
      </c>
      <c r="M26" s="17">
        <f t="shared" si="7"/>
        <v>0.25</v>
      </c>
      <c r="N26" s="17">
        <f t="shared" si="7"/>
        <v>0.25</v>
      </c>
    </row>
    <row r="27" spans="1:14" ht="24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24" customHeight="1">
      <c r="A28" s="1"/>
      <c r="B28" s="1" t="s">
        <v>66</v>
      </c>
      <c r="C28" s="18">
        <f>Assumptions!C37</f>
        <v>20000</v>
      </c>
      <c r="D28" s="18">
        <f>Assumptions!D37</f>
        <v>20000</v>
      </c>
      <c r="E28" s="18">
        <f>Assumptions!E37</f>
        <v>20000</v>
      </c>
      <c r="F28" s="18">
        <f>Assumptions!F37</f>
        <v>20000</v>
      </c>
      <c r="G28" s="18">
        <f>Assumptions!G37</f>
        <v>20000</v>
      </c>
      <c r="H28" s="18">
        <f>Assumptions!H37</f>
        <v>20000</v>
      </c>
      <c r="I28" s="18">
        <f>Assumptions!I37</f>
        <v>20000</v>
      </c>
      <c r="J28" s="18">
        <f>Assumptions!J37</f>
        <v>20000</v>
      </c>
      <c r="K28" s="18">
        <f>Assumptions!K37</f>
        <v>20000</v>
      </c>
      <c r="L28" s="18">
        <f>Assumptions!L37</f>
        <v>20000</v>
      </c>
      <c r="M28" s="18">
        <f>Assumptions!M37</f>
        <v>20000</v>
      </c>
      <c r="N28" s="18">
        <f>Assumptions!N37</f>
        <v>20000</v>
      </c>
    </row>
    <row r="29" spans="1:14" ht="24" customHeight="1">
      <c r="A29" s="1"/>
      <c r="B29" s="9" t="s">
        <v>67</v>
      </c>
      <c r="C29" s="12">
        <f t="shared" ref="C29:N29" si="8">C24*C28</f>
        <v>23492936.249999996</v>
      </c>
      <c r="D29" s="12">
        <f t="shared" si="8"/>
        <v>61459107.412499987</v>
      </c>
      <c r="E29" s="12">
        <f t="shared" si="8"/>
        <v>84207165.343875006</v>
      </c>
      <c r="F29" s="12">
        <f t="shared" si="8"/>
        <v>96572421.031196252</v>
      </c>
      <c r="G29" s="12">
        <f t="shared" si="8"/>
        <v>102017462.05749495</v>
      </c>
      <c r="H29" s="12">
        <f t="shared" si="8"/>
        <v>102983189.44608141</v>
      </c>
      <c r="I29" s="12">
        <f t="shared" si="8"/>
        <v>101150681.21498844</v>
      </c>
      <c r="J29" s="12">
        <f t="shared" si="8"/>
        <v>97679720.948191777</v>
      </c>
      <c r="K29" s="12">
        <f t="shared" si="8"/>
        <v>93379384.020943165</v>
      </c>
      <c r="L29" s="12">
        <f t="shared" si="8"/>
        <v>88784573.738742858</v>
      </c>
      <c r="M29" s="12">
        <f t="shared" si="8"/>
        <v>84215428.805946216</v>
      </c>
      <c r="N29" s="12">
        <f t="shared" si="8"/>
        <v>79867679.585008726</v>
      </c>
    </row>
    <row r="30" spans="1:14" ht="24" customHeight="1">
      <c r="A30" s="1"/>
      <c r="B30" s="1" t="s">
        <v>68</v>
      </c>
      <c r="C30" s="15">
        <f>SUM($C16:C16)</f>
        <v>3132.3914999999997</v>
      </c>
      <c r="D30" s="15">
        <f>SUM($C16:D16)</f>
        <v>5845.2540300000001</v>
      </c>
      <c r="E30" s="15">
        <f>SUM($C16:E16)</f>
        <v>8214.1028045999992</v>
      </c>
      <c r="F30" s="15">
        <f>SUM($C16:F16)</f>
        <v>10300.860299771999</v>
      </c>
      <c r="G30" s="15">
        <f>SUM($C16:G16)</f>
        <v>12159.188975813038</v>
      </c>
      <c r="H30" s="15">
        <f>SUM($C16:H16)</f>
        <v>13830.206020166692</v>
      </c>
      <c r="I30" s="15">
        <f>SUM($C16:I16)</f>
        <v>15347.627526536688</v>
      </c>
      <c r="J30" s="15">
        <f>SUM($C16:J16)</f>
        <v>16739.100691760083</v>
      </c>
      <c r="K30" s="15">
        <f>SUM($C16:K16)</f>
        <v>18030.239967843267</v>
      </c>
      <c r="L30" s="15">
        <f>SUM($C16:L16)</f>
        <v>19239.105454831479</v>
      </c>
      <c r="M30" s="15">
        <f>SUM($C16:M16)</f>
        <v>20380.506434761814</v>
      </c>
      <c r="N30" s="15">
        <f>SUM($C16:N16)</f>
        <v>21466.586518904685</v>
      </c>
    </row>
    <row r="31" spans="1:14" ht="24" customHeight="1">
      <c r="A31" s="1"/>
      <c r="B31" s="1" t="s">
        <v>69</v>
      </c>
      <c r="C31" s="15">
        <f>SUM($C19:C19)</f>
        <v>783.09787499999993</v>
      </c>
      <c r="D31" s="15">
        <f>SUM($C19:D19)</f>
        <v>1461.3135075</v>
      </c>
      <c r="E31" s="15">
        <f>SUM($C19:E19)</f>
        <v>2053.5257011499998</v>
      </c>
      <c r="F31" s="15">
        <f>SUM($C19:F19)</f>
        <v>2575.2150749429998</v>
      </c>
      <c r="G31" s="15">
        <f>SUM($C19:G19)</f>
        <v>3039.7972439532596</v>
      </c>
      <c r="H31" s="15">
        <f>SUM($C19:H19)</f>
        <v>3457.551505041673</v>
      </c>
      <c r="I31" s="15">
        <f>SUM($C19:I19)</f>
        <v>3836.9068816341719</v>
      </c>
      <c r="J31" s="15">
        <f>SUM($C19:J19)</f>
        <v>4184.7751729400206</v>
      </c>
      <c r="K31" s="15">
        <f>SUM($C19:K19)</f>
        <v>4507.5599919608167</v>
      </c>
      <c r="L31" s="15">
        <f>SUM($C19:L19)</f>
        <v>4809.7763637078697</v>
      </c>
      <c r="M31" s="15">
        <f>SUM($C19:M19)</f>
        <v>5095.1266086904534</v>
      </c>
      <c r="N31" s="15">
        <f>SUM($C19:N19)</f>
        <v>5366.6466297261713</v>
      </c>
    </row>
    <row r="32" spans="1:14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4" customHeight="1">
      <c r="A33" s="1"/>
      <c r="B33" s="1" t="s">
        <v>70</v>
      </c>
      <c r="C33" s="19">
        <f t="shared" ref="C33:N33" si="9">C14+C12-C16-C17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</row>
    <row r="34" spans="1:14" ht="24" customHeight="1">
      <c r="A34" s="1"/>
      <c r="B34" s="1" t="s">
        <v>71</v>
      </c>
      <c r="C34" s="19">
        <f t="shared" ref="C34:N34" si="10">C21+C19-C22-C23</f>
        <v>0</v>
      </c>
      <c r="D34" s="19">
        <f t="shared" si="10"/>
        <v>0</v>
      </c>
      <c r="E34" s="19">
        <f t="shared" si="10"/>
        <v>0</v>
      </c>
      <c r="F34" s="19">
        <f t="shared" si="10"/>
        <v>0</v>
      </c>
      <c r="G34" s="19">
        <f t="shared" si="10"/>
        <v>0</v>
      </c>
      <c r="H34" s="19">
        <f t="shared" si="10"/>
        <v>0</v>
      </c>
      <c r="I34" s="19">
        <f t="shared" si="10"/>
        <v>0</v>
      </c>
      <c r="J34" s="19">
        <f t="shared" si="10"/>
        <v>0</v>
      </c>
      <c r="K34" s="19">
        <f t="shared" si="10"/>
        <v>0</v>
      </c>
      <c r="L34" s="19">
        <f t="shared" si="10"/>
        <v>0</v>
      </c>
      <c r="M34" s="19">
        <f t="shared" si="10"/>
        <v>0</v>
      </c>
      <c r="N34" s="19">
        <f t="shared" si="10"/>
        <v>0</v>
      </c>
    </row>
    <row r="35" spans="1:14" ht="24" customHeight="1">
      <c r="A35" s="1"/>
      <c r="B35" s="1" t="s">
        <v>72</v>
      </c>
      <c r="C35" s="19">
        <f t="shared" ref="C35:N35" si="11">C16-C19-C20</f>
        <v>0</v>
      </c>
      <c r="D35" s="19">
        <f t="shared" si="11"/>
        <v>0</v>
      </c>
      <c r="E35" s="19">
        <f t="shared" si="11"/>
        <v>0</v>
      </c>
      <c r="F35" s="19">
        <f t="shared" si="11"/>
        <v>0</v>
      </c>
      <c r="G35" s="19">
        <f t="shared" si="11"/>
        <v>0</v>
      </c>
      <c r="H35" s="19">
        <f t="shared" si="11"/>
        <v>0</v>
      </c>
      <c r="I35" s="19">
        <f t="shared" si="11"/>
        <v>0</v>
      </c>
      <c r="J35" s="19">
        <f t="shared" si="11"/>
        <v>0</v>
      </c>
      <c r="K35" s="19">
        <f t="shared" si="11"/>
        <v>0</v>
      </c>
      <c r="L35" s="19">
        <f t="shared" si="11"/>
        <v>0</v>
      </c>
      <c r="M35" s="19">
        <f t="shared" si="11"/>
        <v>0</v>
      </c>
      <c r="N35" s="19">
        <f t="shared" si="11"/>
        <v>0</v>
      </c>
    </row>
    <row r="36" spans="1:14" ht="24" customHeight="1">
      <c r="A36" s="1"/>
      <c r="B36" s="1" t="s">
        <v>73</v>
      </c>
      <c r="C36" s="20">
        <f t="shared" ref="C36:N36" si="12">COUNTIF(C14:C25,"&lt;0")</f>
        <v>0</v>
      </c>
      <c r="D36" s="20">
        <f t="shared" si="12"/>
        <v>0</v>
      </c>
      <c r="E36" s="20">
        <f t="shared" si="12"/>
        <v>0</v>
      </c>
      <c r="F36" s="20">
        <f t="shared" si="12"/>
        <v>0</v>
      </c>
      <c r="G36" s="20">
        <f t="shared" si="12"/>
        <v>0</v>
      </c>
      <c r="H36" s="20">
        <f t="shared" si="12"/>
        <v>0</v>
      </c>
      <c r="I36" s="20">
        <f t="shared" si="12"/>
        <v>0</v>
      </c>
      <c r="J36" s="20">
        <f t="shared" si="12"/>
        <v>0</v>
      </c>
      <c r="K36" s="20">
        <f t="shared" si="12"/>
        <v>0</v>
      </c>
      <c r="L36" s="20">
        <f t="shared" si="12"/>
        <v>0</v>
      </c>
      <c r="M36" s="20">
        <f t="shared" si="12"/>
        <v>0</v>
      </c>
      <c r="N36" s="20">
        <f t="shared" si="12"/>
        <v>0</v>
      </c>
    </row>
    <row r="37" spans="1:14" ht="24" customHeight="1">
      <c r="A37" s="1"/>
      <c r="B37" s="1" t="s">
        <v>74</v>
      </c>
      <c r="C37" s="21">
        <f>COUNTBLANK(Assumptions!C7)+COUNTBLANK(Assumptions!C12)+COUNTBLANK(Assumptions!C17)+COUNTBLANK(Assumptions!C22)+COUNTBLANK(Assumptions!C27)+COUNTBLANK(Assumptions!C32)+COUNTBLANK(Assumptions!C37)+COUNTBLANK(Assumptions!C42)+IF(OR(Assumptions!C7&lt;0,Assumptions!C7&gt;1,Assumptions!C12&lt;0,Assumptions!C12&gt;1,Assumptions!C17&lt;0,Assumptions!C17&gt;1,Assumptions!C22&lt;0,Assumptions!C22&gt;1,Assumptions!C27&lt;0,Assumptions!C27&gt;1,Assumptions!C32&lt;0,Assumptions!C32&gt;1,Assumptions!C37&lt;0,Assumptions!C42&lt;=-1,Assumptions!$C$48&lt;=0,Assumptions!$C$49&lt;0,Assumptions!$C$49&gt;1,Assumptions!$C$50&lt;0,Assumptions!$C$50&gt;1),1,0)</f>
        <v>0</v>
      </c>
      <c r="D37" s="21">
        <f>COUNTBLANK(Assumptions!D7)+COUNTBLANK(Assumptions!D12)+COUNTBLANK(Assumptions!D17)+COUNTBLANK(Assumptions!D22)+COUNTBLANK(Assumptions!D27)+COUNTBLANK(Assumptions!D32)+COUNTBLANK(Assumptions!D37)+COUNTBLANK(Assumptions!D42)+IF(OR(Assumptions!D7&lt;0,Assumptions!D7&gt;1,Assumptions!D12&lt;0,Assumptions!D12&gt;1,Assumptions!D17&lt;0,Assumptions!D17&gt;1,Assumptions!D22&lt;0,Assumptions!D22&gt;1,Assumptions!D27&lt;0,Assumptions!D27&gt;1,Assumptions!D32&lt;0,Assumptions!D32&gt;1,Assumptions!D37&lt;0,Assumptions!D42&lt;=-1,Assumptions!$C$48&lt;=0,Assumptions!$C$49&lt;0,Assumptions!$C$49&gt;1,Assumptions!$C$50&lt;0,Assumptions!$C$50&gt;1),1,0)</f>
        <v>0</v>
      </c>
      <c r="E37" s="21">
        <f>COUNTBLANK(Assumptions!E7)+COUNTBLANK(Assumptions!E12)+COUNTBLANK(Assumptions!E17)+COUNTBLANK(Assumptions!E22)+COUNTBLANK(Assumptions!E27)+COUNTBLANK(Assumptions!E32)+COUNTBLANK(Assumptions!E37)+COUNTBLANK(Assumptions!E42)+IF(OR(Assumptions!E7&lt;0,Assumptions!E7&gt;1,Assumptions!E12&lt;0,Assumptions!E12&gt;1,Assumptions!E17&lt;0,Assumptions!E17&gt;1,Assumptions!E22&lt;0,Assumptions!E22&gt;1,Assumptions!E27&lt;0,Assumptions!E27&gt;1,Assumptions!E32&lt;0,Assumptions!E32&gt;1,Assumptions!E37&lt;0,Assumptions!E42&lt;=-1,Assumptions!$C$48&lt;=0,Assumptions!$C$49&lt;0,Assumptions!$C$49&gt;1,Assumptions!$C$50&lt;0,Assumptions!$C$50&gt;1),1,0)</f>
        <v>0</v>
      </c>
      <c r="F37" s="21">
        <f>COUNTBLANK(Assumptions!F7)+COUNTBLANK(Assumptions!F12)+COUNTBLANK(Assumptions!F17)+COUNTBLANK(Assumptions!F22)+COUNTBLANK(Assumptions!F27)+COUNTBLANK(Assumptions!F32)+COUNTBLANK(Assumptions!F37)+COUNTBLANK(Assumptions!F42)+IF(OR(Assumptions!F7&lt;0,Assumptions!F7&gt;1,Assumptions!F12&lt;0,Assumptions!F12&gt;1,Assumptions!F17&lt;0,Assumptions!F17&gt;1,Assumptions!F22&lt;0,Assumptions!F22&gt;1,Assumptions!F27&lt;0,Assumptions!F27&gt;1,Assumptions!F32&lt;0,Assumptions!F32&gt;1,Assumptions!F37&lt;0,Assumptions!F42&lt;=-1,Assumptions!$C$48&lt;=0,Assumptions!$C$49&lt;0,Assumptions!$C$49&gt;1,Assumptions!$C$50&lt;0,Assumptions!$C$50&gt;1),1,0)</f>
        <v>0</v>
      </c>
      <c r="G37" s="21">
        <f>COUNTBLANK(Assumptions!G7)+COUNTBLANK(Assumptions!G12)+COUNTBLANK(Assumptions!G17)+COUNTBLANK(Assumptions!G22)+COUNTBLANK(Assumptions!G27)+COUNTBLANK(Assumptions!G32)+COUNTBLANK(Assumptions!G37)+COUNTBLANK(Assumptions!G42)+IF(OR(Assumptions!G7&lt;0,Assumptions!G7&gt;1,Assumptions!G12&lt;0,Assumptions!G12&gt;1,Assumptions!G17&lt;0,Assumptions!G17&gt;1,Assumptions!G22&lt;0,Assumptions!G22&gt;1,Assumptions!G27&lt;0,Assumptions!G27&gt;1,Assumptions!G32&lt;0,Assumptions!G32&gt;1,Assumptions!G37&lt;0,Assumptions!G42&lt;=-1,Assumptions!$C$48&lt;=0,Assumptions!$C$49&lt;0,Assumptions!$C$49&gt;1,Assumptions!$C$50&lt;0,Assumptions!$C$50&gt;1),1,0)</f>
        <v>0</v>
      </c>
      <c r="H37" s="21">
        <f>COUNTBLANK(Assumptions!H7)+COUNTBLANK(Assumptions!H12)+COUNTBLANK(Assumptions!H17)+COUNTBLANK(Assumptions!H22)+COUNTBLANK(Assumptions!H27)+COUNTBLANK(Assumptions!H32)+COUNTBLANK(Assumptions!H37)+COUNTBLANK(Assumptions!H42)+IF(OR(Assumptions!H7&lt;0,Assumptions!H7&gt;1,Assumptions!H12&lt;0,Assumptions!H12&gt;1,Assumptions!H17&lt;0,Assumptions!H17&gt;1,Assumptions!H22&lt;0,Assumptions!H22&gt;1,Assumptions!H27&lt;0,Assumptions!H27&gt;1,Assumptions!H32&lt;0,Assumptions!H32&gt;1,Assumptions!H37&lt;0,Assumptions!H42&lt;=-1,Assumptions!$C$48&lt;=0,Assumptions!$C$49&lt;0,Assumptions!$C$49&gt;1,Assumptions!$C$50&lt;0,Assumptions!$C$50&gt;1),1,0)</f>
        <v>0</v>
      </c>
      <c r="I37" s="21">
        <f>COUNTBLANK(Assumptions!I7)+COUNTBLANK(Assumptions!I12)+COUNTBLANK(Assumptions!I17)+COUNTBLANK(Assumptions!I22)+COUNTBLANK(Assumptions!I27)+COUNTBLANK(Assumptions!I32)+COUNTBLANK(Assumptions!I37)+COUNTBLANK(Assumptions!I42)+IF(OR(Assumptions!I7&lt;0,Assumptions!I7&gt;1,Assumptions!I12&lt;0,Assumptions!I12&gt;1,Assumptions!I17&lt;0,Assumptions!I17&gt;1,Assumptions!I22&lt;0,Assumptions!I22&gt;1,Assumptions!I27&lt;0,Assumptions!I27&gt;1,Assumptions!I32&lt;0,Assumptions!I32&gt;1,Assumptions!I37&lt;0,Assumptions!I42&lt;=-1,Assumptions!$C$48&lt;=0,Assumptions!$C$49&lt;0,Assumptions!$C$49&gt;1,Assumptions!$C$50&lt;0,Assumptions!$C$50&gt;1),1,0)</f>
        <v>0</v>
      </c>
      <c r="J37" s="21">
        <f>COUNTBLANK(Assumptions!J7)+COUNTBLANK(Assumptions!J12)+COUNTBLANK(Assumptions!J17)+COUNTBLANK(Assumptions!J22)+COUNTBLANK(Assumptions!J27)+COUNTBLANK(Assumptions!J32)+COUNTBLANK(Assumptions!J37)+COUNTBLANK(Assumptions!J42)+IF(OR(Assumptions!J7&lt;0,Assumptions!J7&gt;1,Assumptions!J12&lt;0,Assumptions!J12&gt;1,Assumptions!J17&lt;0,Assumptions!J17&gt;1,Assumptions!J22&lt;0,Assumptions!J22&gt;1,Assumptions!J27&lt;0,Assumptions!J27&gt;1,Assumptions!J32&lt;0,Assumptions!J32&gt;1,Assumptions!J37&lt;0,Assumptions!J42&lt;=-1,Assumptions!$C$48&lt;=0,Assumptions!$C$49&lt;0,Assumptions!$C$49&gt;1,Assumptions!$C$50&lt;0,Assumptions!$C$50&gt;1),1,0)</f>
        <v>0</v>
      </c>
      <c r="K37" s="21">
        <f>COUNTBLANK(Assumptions!K7)+COUNTBLANK(Assumptions!K12)+COUNTBLANK(Assumptions!K17)+COUNTBLANK(Assumptions!K22)+COUNTBLANK(Assumptions!K27)+COUNTBLANK(Assumptions!K32)+COUNTBLANK(Assumptions!K37)+COUNTBLANK(Assumptions!K42)+IF(OR(Assumptions!K7&lt;0,Assumptions!K7&gt;1,Assumptions!K12&lt;0,Assumptions!K12&gt;1,Assumptions!K17&lt;0,Assumptions!K17&gt;1,Assumptions!K22&lt;0,Assumptions!K22&gt;1,Assumptions!K27&lt;0,Assumptions!K27&gt;1,Assumptions!K32&lt;0,Assumptions!K32&gt;1,Assumptions!K37&lt;0,Assumptions!K42&lt;=-1,Assumptions!$C$48&lt;=0,Assumptions!$C$49&lt;0,Assumptions!$C$49&gt;1,Assumptions!$C$50&lt;0,Assumptions!$C$50&gt;1),1,0)</f>
        <v>0</v>
      </c>
      <c r="L37" s="21">
        <f>COUNTBLANK(Assumptions!L7)+COUNTBLANK(Assumptions!L12)+COUNTBLANK(Assumptions!L17)+COUNTBLANK(Assumptions!L22)+COUNTBLANK(Assumptions!L27)+COUNTBLANK(Assumptions!L32)+COUNTBLANK(Assumptions!L37)+COUNTBLANK(Assumptions!L42)+IF(OR(Assumptions!L7&lt;0,Assumptions!L7&gt;1,Assumptions!L12&lt;0,Assumptions!L12&gt;1,Assumptions!L17&lt;0,Assumptions!L17&gt;1,Assumptions!L22&lt;0,Assumptions!L22&gt;1,Assumptions!L27&lt;0,Assumptions!L27&gt;1,Assumptions!L32&lt;0,Assumptions!L32&gt;1,Assumptions!L37&lt;0,Assumptions!L42&lt;=-1,Assumptions!$C$48&lt;=0,Assumptions!$C$49&lt;0,Assumptions!$C$49&gt;1,Assumptions!$C$50&lt;0,Assumptions!$C$50&gt;1),1,0)</f>
        <v>0</v>
      </c>
      <c r="M37" s="21">
        <f>COUNTBLANK(Assumptions!M7)+COUNTBLANK(Assumptions!M12)+COUNTBLANK(Assumptions!M17)+COUNTBLANK(Assumptions!M22)+COUNTBLANK(Assumptions!M27)+COUNTBLANK(Assumptions!M32)+COUNTBLANK(Assumptions!M37)+COUNTBLANK(Assumptions!M42)+IF(OR(Assumptions!M7&lt;0,Assumptions!M7&gt;1,Assumptions!M12&lt;0,Assumptions!M12&gt;1,Assumptions!M17&lt;0,Assumptions!M17&gt;1,Assumptions!M22&lt;0,Assumptions!M22&gt;1,Assumptions!M27&lt;0,Assumptions!M27&gt;1,Assumptions!M32&lt;0,Assumptions!M32&gt;1,Assumptions!M37&lt;0,Assumptions!M42&lt;=-1,Assumptions!$C$48&lt;=0,Assumptions!$C$49&lt;0,Assumptions!$C$49&gt;1,Assumptions!$C$50&lt;0,Assumptions!$C$50&gt;1),1,0)</f>
        <v>0</v>
      </c>
      <c r="N37" s="21">
        <f>COUNTBLANK(Assumptions!N7)+COUNTBLANK(Assumptions!N12)+COUNTBLANK(Assumptions!N17)+COUNTBLANK(Assumptions!N22)+COUNTBLANK(Assumptions!N27)+COUNTBLANK(Assumptions!N32)+COUNTBLANK(Assumptions!N37)+COUNTBLANK(Assumptions!N42)+IF(OR(Assumptions!N7&lt;0,Assumptions!N7&gt;1,Assumptions!N12&lt;0,Assumptions!N12&gt;1,Assumptions!N17&lt;0,Assumptions!N17&gt;1,Assumptions!N22&lt;0,Assumptions!N22&gt;1,Assumptions!N27&lt;0,Assumptions!N27&gt;1,Assumptions!N32&lt;0,Assumptions!N32&gt;1,Assumptions!N37&lt;0,Assumptions!N42&lt;=-1,Assumptions!$C$48&lt;=0,Assumptions!$C$49&lt;0,Assumptions!$C$49&gt;1,Assumptions!$C$50&lt;0,Assumptions!$C$50&gt;1),1,0)</f>
        <v>0</v>
      </c>
    </row>
    <row r="38" spans="1:14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40.049999999999997" customHeight="1">
      <c r="A39" s="1"/>
      <c r="B39" s="25" t="s">
        <v>75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</sheetData>
  <mergeCells count="2">
    <mergeCell ref="B2:N2"/>
    <mergeCell ref="B39:N39"/>
  </mergeCells>
  <conditionalFormatting sqref="C33:N37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tabSelected="1" workbookViewId="0">
      <pane ySplit="5" topLeftCell="A6" activePane="bottomLeft" state="frozen"/>
      <selection pane="bottomLeft"/>
    </sheetView>
  </sheetViews>
  <sheetFormatPr defaultRowHeight="13.5"/>
  <cols>
    <col min="1" max="1" width="3" customWidth="1"/>
    <col min="2" max="2" width="47" customWidth="1"/>
    <col min="3" max="3" width="19" customWidth="1"/>
    <col min="4" max="7" width="15" customWidth="1"/>
    <col min="8" max="8" width="32" customWidth="1"/>
    <col min="9" max="14" width="15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1"/>
      <c r="B2" s="24" t="s">
        <v>76</v>
      </c>
      <c r="C2" s="24"/>
      <c r="D2" s="24"/>
      <c r="E2" s="24"/>
      <c r="F2" s="24"/>
      <c r="G2" s="24"/>
      <c r="H2" s="24"/>
    </row>
    <row r="3" spans="1:8" ht="40.049999999999997" customHeight="1">
      <c r="A3" s="1"/>
      <c r="B3" s="25" t="s">
        <v>77</v>
      </c>
      <c r="C3" s="25"/>
      <c r="D3" s="25"/>
      <c r="E3" s="25"/>
      <c r="F3" s="25"/>
      <c r="G3" s="25"/>
      <c r="H3" s="25"/>
    </row>
    <row r="4" spans="1:8" ht="24" customHeight="1">
      <c r="A4" s="1"/>
      <c r="B4" s="1"/>
      <c r="C4" s="1"/>
      <c r="D4" s="1"/>
      <c r="E4" s="1"/>
      <c r="F4" s="1"/>
      <c r="G4" s="1"/>
      <c r="H4" s="1"/>
    </row>
    <row r="5" spans="1:8" ht="24" customHeight="1">
      <c r="A5" s="1"/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2" t="s">
        <v>83</v>
      </c>
      <c r="H5" s="2" t="s">
        <v>84</v>
      </c>
    </row>
    <row r="6" spans="1:8" ht="24" customHeight="1">
      <c r="A6" s="1"/>
      <c r="B6" s="1" t="s">
        <v>85</v>
      </c>
      <c r="C6" s="1" t="s">
        <v>86</v>
      </c>
      <c r="D6" s="6">
        <v>20000000</v>
      </c>
      <c r="E6" s="4">
        <v>1E-3</v>
      </c>
      <c r="F6" s="5">
        <v>2.0000000000000001E-4</v>
      </c>
      <c r="G6" s="3">
        <v>1</v>
      </c>
      <c r="H6" s="1" t="s">
        <v>87</v>
      </c>
    </row>
    <row r="7" spans="1:8" ht="24" customHeight="1">
      <c r="A7" s="1"/>
      <c r="B7" s="1" t="s">
        <v>88</v>
      </c>
      <c r="C7" s="1" t="s">
        <v>89</v>
      </c>
      <c r="D7" s="6">
        <v>25000000</v>
      </c>
      <c r="E7" s="4">
        <v>1.1999999999999999E-3</v>
      </c>
      <c r="F7" s="5">
        <v>2.2000000000000001E-4</v>
      </c>
      <c r="G7" s="3">
        <v>1</v>
      </c>
      <c r="H7" s="1" t="s">
        <v>87</v>
      </c>
    </row>
    <row r="8" spans="1:8" ht="24" customHeight="1">
      <c r="A8" s="1"/>
      <c r="B8" s="1" t="s">
        <v>90</v>
      </c>
      <c r="C8" s="1" t="s">
        <v>91</v>
      </c>
      <c r="D8" s="6">
        <v>18000000</v>
      </c>
      <c r="E8" s="4">
        <v>8.9999999999999998E-4</v>
      </c>
      <c r="F8" s="5">
        <v>1.8000000000000001E-4</v>
      </c>
      <c r="G8" s="3">
        <v>1</v>
      </c>
      <c r="H8" s="1" t="s">
        <v>87</v>
      </c>
    </row>
    <row r="9" spans="1:8" ht="24" customHeight="1">
      <c r="A9" s="1"/>
      <c r="B9" s="1" t="s">
        <v>92</v>
      </c>
      <c r="C9" s="1" t="s">
        <v>93</v>
      </c>
      <c r="D9" s="6">
        <v>22000000</v>
      </c>
      <c r="E9" s="4">
        <v>1.1000000000000001E-3</v>
      </c>
      <c r="F9" s="5">
        <v>2.1000000000000001E-4</v>
      </c>
      <c r="G9" s="3">
        <v>1</v>
      </c>
      <c r="H9" s="1" t="s">
        <v>87</v>
      </c>
    </row>
    <row r="10" spans="1:8" ht="24" customHeight="1">
      <c r="A10" s="1"/>
      <c r="B10" s="1" t="s">
        <v>94</v>
      </c>
      <c r="C10" s="1" t="s">
        <v>95</v>
      </c>
      <c r="D10" s="6">
        <v>15000000</v>
      </c>
      <c r="E10" s="4">
        <v>1E-3</v>
      </c>
      <c r="F10" s="5">
        <v>2.0000000000000001E-4</v>
      </c>
      <c r="G10" s="3">
        <v>1</v>
      </c>
      <c r="H10" s="1" t="s">
        <v>87</v>
      </c>
    </row>
    <row r="11" spans="1:8" ht="24" customHeight="1">
      <c r="A11" s="1"/>
      <c r="B11" s="1" t="s">
        <v>90</v>
      </c>
      <c r="C11" s="1" t="s">
        <v>96</v>
      </c>
      <c r="D11" s="6">
        <v>18000000</v>
      </c>
      <c r="E11" s="4">
        <v>8.9999999999999998E-4</v>
      </c>
      <c r="F11" s="5">
        <v>1.8000000000000001E-4</v>
      </c>
      <c r="G11" s="3">
        <v>0</v>
      </c>
      <c r="H11" s="1" t="s">
        <v>97</v>
      </c>
    </row>
    <row r="12" spans="1:8" ht="24" customHeight="1">
      <c r="A12" s="1"/>
      <c r="B12" s="1" t="s">
        <v>98</v>
      </c>
      <c r="C12" s="1" t="s">
        <v>99</v>
      </c>
      <c r="D12" s="6"/>
      <c r="E12" s="4">
        <v>1E-3</v>
      </c>
      <c r="F12" s="5">
        <v>2.0000000000000001E-4</v>
      </c>
      <c r="G12" s="3">
        <v>0</v>
      </c>
      <c r="H12" s="1" t="s">
        <v>100</v>
      </c>
    </row>
    <row r="13" spans="1:8" ht="24" customHeight="1">
      <c r="A13" s="1"/>
      <c r="B13" s="1"/>
      <c r="C13" s="1"/>
      <c r="D13" s="1"/>
      <c r="E13" s="1"/>
      <c r="F13" s="1"/>
      <c r="G13" s="1"/>
      <c r="H13" s="1"/>
    </row>
    <row r="14" spans="1:8" ht="24" customHeight="1">
      <c r="A14" s="1"/>
      <c r="B14" s="1"/>
      <c r="C14" s="1"/>
      <c r="D14" s="1"/>
      <c r="E14" s="1"/>
      <c r="F14" s="1"/>
      <c r="G14" s="1"/>
      <c r="H14" s="1"/>
    </row>
    <row r="15" spans="1:8" ht="24" customHeight="1">
      <c r="A15" s="1"/>
      <c r="B15" s="1" t="s">
        <v>101</v>
      </c>
      <c r="C15" s="1"/>
      <c r="D15" s="7">
        <f>SUMPRODUCT(D6:D12,G6:G12)</f>
        <v>100000000</v>
      </c>
      <c r="E15" s="1"/>
      <c r="F15" s="1"/>
      <c r="G15" s="1"/>
      <c r="H15" s="1"/>
    </row>
    <row r="16" spans="1:8" ht="24" customHeight="1">
      <c r="A16" s="1"/>
      <c r="B16" s="1" t="s">
        <v>102</v>
      </c>
      <c r="C16" s="1"/>
      <c r="D16" s="7">
        <f>SUMPRODUCT(D6:D12,E6:E12,G6:G12)</f>
        <v>105400</v>
      </c>
      <c r="E16" s="1"/>
      <c r="F16" s="1"/>
      <c r="G16" s="1"/>
      <c r="H16" s="1"/>
    </row>
    <row r="17" spans="1:8" ht="24" customHeight="1">
      <c r="A17" s="1"/>
      <c r="B17" s="1" t="s">
        <v>103</v>
      </c>
      <c r="C17" s="1"/>
      <c r="D17" s="7">
        <f>SUMPRODUCT(D6:D12,F6:F12,G6:G12)</f>
        <v>20360</v>
      </c>
      <c r="E17" s="1"/>
      <c r="F17" s="1"/>
      <c r="G17" s="1"/>
      <c r="H17" s="1"/>
    </row>
    <row r="18" spans="1:8" ht="24" customHeight="1">
      <c r="A18" s="1"/>
      <c r="B18" s="1"/>
      <c r="C18" s="1"/>
      <c r="D18" s="1"/>
      <c r="E18" s="1"/>
      <c r="F18" s="1"/>
      <c r="G18" s="1"/>
      <c r="H18" s="1"/>
    </row>
    <row r="19" spans="1:8" ht="40.049999999999997" customHeight="1">
      <c r="A19" s="1"/>
      <c r="B19" s="25" t="s">
        <v>104</v>
      </c>
      <c r="C19" s="25"/>
      <c r="D19" s="25"/>
      <c r="E19" s="25"/>
      <c r="F19" s="25"/>
      <c r="G19" s="25"/>
      <c r="H19" s="25"/>
    </row>
    <row r="20" spans="1:8" ht="24" customHeight="1">
      <c r="A20" s="1"/>
      <c r="B20" s="1"/>
      <c r="C20" s="1"/>
      <c r="D20" s="1"/>
      <c r="E20" s="1"/>
      <c r="F20" s="1"/>
      <c r="G20" s="1"/>
      <c r="H20" s="1"/>
    </row>
    <row r="21" spans="1:8" ht="40.049999999999997" customHeight="1">
      <c r="A21" s="1"/>
      <c r="B21" s="25" t="s">
        <v>105</v>
      </c>
      <c r="C21" s="25"/>
      <c r="D21" s="25"/>
      <c r="E21" s="25"/>
      <c r="F21" s="25"/>
      <c r="G21" s="25"/>
      <c r="H21" s="25"/>
    </row>
    <row r="22" spans="1:8" ht="24" customHeight="1">
      <c r="A22" s="1"/>
      <c r="B22" s="1"/>
      <c r="C22" s="1"/>
      <c r="D22" s="1"/>
      <c r="E22" s="1"/>
      <c r="F22" s="1"/>
      <c r="G22" s="1"/>
      <c r="H22" s="1"/>
    </row>
    <row r="23" spans="1:8" ht="24" customHeight="1">
      <c r="A23" s="1"/>
      <c r="B23" s="1"/>
      <c r="C23" s="1"/>
      <c r="D23" s="1"/>
      <c r="E23" s="1"/>
      <c r="F23" s="1"/>
      <c r="G23" s="1"/>
      <c r="H23" s="1"/>
    </row>
    <row r="24" spans="1:8" ht="24" customHeight="1">
      <c r="A24" s="1"/>
      <c r="B24" s="1"/>
      <c r="C24" s="1"/>
      <c r="D24" s="1"/>
      <c r="E24" s="1"/>
      <c r="F24" s="1"/>
      <c r="G24" s="1"/>
      <c r="H24" s="1"/>
    </row>
  </sheetData>
  <mergeCells count="4">
    <mergeCell ref="B2:H2"/>
    <mergeCell ref="B3:H3"/>
    <mergeCell ref="B19:H19"/>
    <mergeCell ref="B21:H21"/>
  </mergeCells>
  <dataValidations count="1">
    <dataValidation type="list" sqref="G6:G12" xr:uid="{00000000-0002-0000-0300-000000000000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Patient forecast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 ❤️</cp:lastModifiedBy>
  <dcterms:modified xsi:type="dcterms:W3CDTF">2026-10-05T09:21:50Z</dcterms:modified>
</cp:coreProperties>
</file>